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VLSM" sheetId="1" state="visible" r:id="rId3"/>
    <sheet name="Parametros" sheetId="2" state="visible" r:id="rId4"/>
    <sheet name="Reservas" sheetId="3" state="visible" r:id="rId5"/>
    <sheet name="Como estudiar" sheetId="4" state="visible" r:id="rId6"/>
  </sheets>
  <definedNames>
    <definedName function="false" hidden="true" localSheetId="3" name="_xlnm._FilterDatabase" vbProcedure="false">'Como estudiar'!$A$1:$A$15</definedName>
    <definedName function="false" hidden="true" localSheetId="1" name="_xlnm._FilterDatabase" vbProcedure="false">Parametros!$A$1:$B$9</definedName>
    <definedName function="false" hidden="true" localSheetId="2" name="_xlnm._FilterDatabase" vbProcedure="false">Reservas!$A$1:$G$15</definedName>
    <definedName function="false" hidden="true" localSheetId="0" name="_xlnm._FilterDatabase" vbProcedure="false">VLSM!$A$1:$U$10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<sst xmlns="http://schemas.openxmlformats.org/spreadsheetml/2006/main" count="182" uniqueCount="138">
  <si>
    <t xml:space="preserve">Red</t>
  </si>
  <si>
    <t xml:space="preserve">Área</t>
  </si>
  <si>
    <t xml:space="preserve">Hosts mínimos</t>
  </si>
  <si>
    <t xml:space="preserve">Bits host</t>
  </si>
  <si>
    <t xml:space="preserve">Prefijo</t>
  </si>
  <si>
    <t xml:space="preserve">2^n</t>
  </si>
  <si>
    <t xml:space="preserve">2^n - 2</t>
  </si>
  <si>
    <t xml:space="preserve">Máscara binaria octeto 4</t>
  </si>
  <si>
    <t xml:space="preserve">Máscara decimal</t>
  </si>
  <si>
    <t xml:space="preserve">Red entera</t>
  </si>
  <si>
    <t xml:space="preserve">Dirección red</t>
  </si>
  <si>
    <t xml:space="preserve">Primer host</t>
  </si>
  <si>
    <t xml:space="preserve">Último host</t>
  </si>
  <si>
    <t xml:space="preserve">Broadcast</t>
  </si>
  <si>
    <t xml:space="preserve">Gateway</t>
  </si>
  <si>
    <t xml:space="preserve">VLAN</t>
  </si>
  <si>
    <t xml:space="preserve">Asignación física</t>
  </si>
  <si>
    <t xml:space="preserve">Reservas</t>
  </si>
  <si>
    <t xml:space="preserve">Libres para terminales</t>
  </si>
  <si>
    <t xml:space="preserve">Alineación</t>
  </si>
  <si>
    <t xml:space="preserve">Capacidad</t>
  </si>
  <si>
    <t xml:space="preserve">R2</t>
  </si>
  <si>
    <t xml:space="preserve">Hospitalización</t>
  </si>
  <si>
    <t xml:space="preserve">Router0 Gi0/0.220; Switch0</t>
  </si>
  <si>
    <t xml:space="preserve">R6</t>
  </si>
  <si>
    <t xml:space="preserve">Consulta externa</t>
  </si>
  <si>
    <t xml:space="preserve">Router2 Gi0/0.250; Switch2</t>
  </si>
  <si>
    <t xml:space="preserve">R1</t>
  </si>
  <si>
    <t xml:space="preserve">Urgencias</t>
  </si>
  <si>
    <t xml:space="preserve">Router0 Gi0/0.210; Switch0</t>
  </si>
  <si>
    <t xml:space="preserve">R7</t>
  </si>
  <si>
    <t xml:space="preserve">Imágenes diagnósticas</t>
  </si>
  <si>
    <t xml:space="preserve">Router2 Gi0/0.260; Switch2</t>
  </si>
  <si>
    <t xml:space="preserve">R3</t>
  </si>
  <si>
    <t xml:space="preserve">Laboratorio clínico</t>
  </si>
  <si>
    <t xml:space="preserve">Router1 Gi0/0.230; Switch1</t>
  </si>
  <si>
    <t xml:space="preserve">R8</t>
  </si>
  <si>
    <t xml:space="preserve">Administración</t>
  </si>
  <si>
    <t xml:space="preserve">Router3 Gi0/0.270; Switch3</t>
  </si>
  <si>
    <t xml:space="preserve">R4</t>
  </si>
  <si>
    <t xml:space="preserve">Farmacia</t>
  </si>
  <si>
    <t xml:space="preserve">Router1 Gi0/0.240; Switch1</t>
  </si>
  <si>
    <t xml:space="preserve">R9</t>
  </si>
  <si>
    <t xml:space="preserve">Ingeniería biomédica</t>
  </si>
  <si>
    <t xml:space="preserve">Router3 Gi0/0.280; Switch3</t>
  </si>
  <si>
    <t xml:space="preserve">R5</t>
  </si>
  <si>
    <t xml:space="preserve">Tránsito</t>
  </si>
  <si>
    <t xml:space="preserve">No aplica: 4 IP de tránsito</t>
  </si>
  <si>
    <t xml:space="preserve">Tránsito VLAN 1 L2</t>
  </si>
  <si>
    <t xml:space="preserve">Switch4 Fa0/1-4; Router0-3 Gi0/1</t>
  </si>
  <si>
    <t xml:space="preserve">Parámetro</t>
  </si>
  <si>
    <t xml:space="preserve">Valor</t>
  </si>
  <si>
    <t xml:space="preserve">Bloque privado</t>
  </si>
  <si>
    <t xml:space="preserve">172.16.0.0/12</t>
  </si>
  <si>
    <t xml:space="preserve">Contenedor</t>
  </si>
  <si>
    <t xml:space="preserve">172.16.0.0/22</t>
  </si>
  <si>
    <t xml:space="preserve">Base entera</t>
  </si>
  <si>
    <t xml:space="preserve">Prefijo contenedor</t>
  </si>
  <si>
    <t xml:space="preserve">Direcciones contenedor</t>
  </si>
  <si>
    <t xml:space="preserve">Asignadas</t>
  </si>
  <si>
    <t xml:space="preserve">Libres</t>
  </si>
  <si>
    <t xml:space="preserve">Prefijo mínimo</t>
  </si>
  <si>
    <t xml:space="preserve">Dispositivo</t>
  </si>
  <si>
    <t xml:space="preserve">IP</t>
  </si>
  <si>
    <t xml:space="preserve">Máscara</t>
  </si>
  <si>
    <t xml:space="preserve">DNS</t>
  </si>
  <si>
    <t xml:space="preserve">Puerto</t>
  </si>
  <si>
    <t xml:space="preserve">PC0</t>
  </si>
  <si>
    <t xml:space="preserve">172.16.2.10</t>
  </si>
  <si>
    <t xml:space="preserve">255.255.255.128</t>
  </si>
  <si>
    <t xml:space="preserve">172.16.2.1</t>
  </si>
  <si>
    <t xml:space="preserve">172.16.3.130</t>
  </si>
  <si>
    <t xml:space="preserve">Switch0 Fa0/1</t>
  </si>
  <si>
    <t xml:space="preserve">PC1</t>
  </si>
  <si>
    <t xml:space="preserve">172.16.0.10</t>
  </si>
  <si>
    <t xml:space="preserve">255.255.255.0</t>
  </si>
  <si>
    <t xml:space="preserve">172.16.0.1</t>
  </si>
  <si>
    <t xml:space="preserve">Switch0 Fa0/2</t>
  </si>
  <si>
    <t xml:space="preserve">PC2</t>
  </si>
  <si>
    <t xml:space="preserve">172.16.3.10</t>
  </si>
  <si>
    <t xml:space="preserve">255.255.255.192</t>
  </si>
  <si>
    <t xml:space="preserve">172.16.3.1</t>
  </si>
  <si>
    <t xml:space="preserve">Switch1 Fa0/1</t>
  </si>
  <si>
    <t xml:space="preserve">PC3</t>
  </si>
  <si>
    <t xml:space="preserve">172.16.3.138</t>
  </si>
  <si>
    <t xml:space="preserve">255.255.255.224</t>
  </si>
  <si>
    <t xml:space="preserve">172.16.3.129</t>
  </si>
  <si>
    <t xml:space="preserve">Switch1 Fa0/2</t>
  </si>
  <si>
    <t xml:space="preserve">PC4</t>
  </si>
  <si>
    <t xml:space="preserve">172.16.1.10</t>
  </si>
  <si>
    <t xml:space="preserve">172.16.1.1</t>
  </si>
  <si>
    <t xml:space="preserve">Switch2 Fa0/1</t>
  </si>
  <si>
    <t xml:space="preserve">PC5</t>
  </si>
  <si>
    <t xml:space="preserve">172.16.2.138</t>
  </si>
  <si>
    <t xml:space="preserve">172.16.2.129</t>
  </si>
  <si>
    <t xml:space="preserve">Switch2 Fa0/2</t>
  </si>
  <si>
    <t xml:space="preserve">PC6</t>
  </si>
  <si>
    <t xml:space="preserve">172.16.3.74</t>
  </si>
  <si>
    <t xml:space="preserve">172.16.3.65</t>
  </si>
  <si>
    <t xml:space="preserve">Switch3 Fa0/1</t>
  </si>
  <si>
    <t xml:space="preserve">PC7</t>
  </si>
  <si>
    <t xml:space="preserve">172.16.3.170</t>
  </si>
  <si>
    <t xml:space="preserve">172.16.3.161</t>
  </si>
  <si>
    <t xml:space="preserve">Switch3 Fa0/2</t>
  </si>
  <si>
    <t xml:space="preserve">DNS / Server0</t>
  </si>
  <si>
    <t xml:space="preserve">Switch1 Fa0/3</t>
  </si>
  <si>
    <t xml:space="preserve">HTTP / Server1</t>
  </si>
  <si>
    <t xml:space="preserve">172.16.3.66</t>
  </si>
  <si>
    <t xml:space="preserve">Switch3 Fa0/3</t>
  </si>
  <si>
    <t xml:space="preserve">Router0 Gi0/1</t>
  </si>
  <si>
    <t xml:space="preserve">172.16.3.193</t>
  </si>
  <si>
    <t xml:space="preserve">255.255.255.248</t>
  </si>
  <si>
    <t xml:space="preserve">No aplica</t>
  </si>
  <si>
    <t xml:space="preserve">Switch4 Fa0/1</t>
  </si>
  <si>
    <t xml:space="preserve">Router1 Gi0/1</t>
  </si>
  <si>
    <t xml:space="preserve">172.16.3.194</t>
  </si>
  <si>
    <t xml:space="preserve">Switch4 Fa0/2</t>
  </si>
  <si>
    <t xml:space="preserve">Router2 Gi0/1</t>
  </si>
  <si>
    <t xml:space="preserve">172.16.3.195</t>
  </si>
  <si>
    <t xml:space="preserve">Switch4 Fa0/3</t>
  </si>
  <si>
    <t xml:space="preserve">Router3 Gi0/1</t>
  </si>
  <si>
    <t xml:space="preserve">172.16.3.196</t>
  </si>
  <si>
    <t xml:space="preserve">Switch4 Fa0/4</t>
  </si>
  <si>
    <t xml:space="preserve">Construye tu propio Excel desde cero y compara con VLSM.</t>
  </si>
  <si>
    <t xml:space="preserve">Azul = entrada; fórmulas calculan la dirección real, no texto pegado.</t>
  </si>
  <si>
    <t xml:space="preserve">Funciones internas OOXML en inglés; Excel español las traduce al abrir.</t>
  </si>
  <si>
    <t xml:space="preserve">En Excel español: ROUNDUP=REDONDEAR.MAS, IF=SI, MOD=RESIDUO; separador habitual ;.</t>
  </si>
  <si>
    <t xml:space="preserve">Ordenar siempre de mayor a menor hosts. Si editas cantidades, reordena y revisa alineación.</t>
  </si>
  <si>
    <t xml:space="preserve">Capacidad incluye gateways y servidores según enunciado: Farmacia /27 tiene 30 útiles, 1 gateway, 1 DNS y hasta 28 terminales.</t>
  </si>
  <si>
    <t xml:space="preserve">VLSM filas 2 a 10: 200,160,120,70,55,40,30,25,4.</t>
  </si>
  <si>
    <t xml:space="preserve">2^8+2^8+2^7+2^7+2^6+2^6+2^5+2^5+2^3=968. Un /23 solo tiene 512; /22 tiene 1024.</t>
  </si>
  <si>
    <t xml:space="preserve">Bloque 172.16.0.0/12 es RFC1918; clase B es una referencia histórica /16, se trabaja con CIDR /22.</t>
  </si>
  <si>
    <t xml:space="preserve">R5 no usa gateway único: reserva .192+1 hasta .192+4, es decir 172.16.3.193-196.</t>
  </si>
  <si>
    <t xml:space="preserve">R5 usa VLAN 1 solo como dominio L2 del switch central: no es una VLAN de usuarios ni una décima red.</t>
  </si>
  <si>
    <t xml:space="preserve">Máscara: por octeto 256-2^MAX(0,MIN(8,8*k-prefijo)), k de 1 a 4.</t>
  </si>
  <si>
    <t xml:space="preserve">Red siguiente = red entera anterior + tamaño anterior. Red debe ser múltiplo de tamaño.</t>
  </si>
  <si>
    <t xml:space="preserve">Primer host=red+1; último=red+tamaño-2; broadcast=red+tamaño-1.</t>
  </si>
  <si>
    <t xml:space="preserve">Libres para terminales descuenta reservas; no expresa terminales conectados en Packet Tracer.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</si>
</sst>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1565C0"/>
      <name val="Cambria"/>
      <family val="0"/>
      <charset val="1"/>
    </font>
    <font>
      <sz val="11"/>
      <color rgb="FF15384A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3653"/>
        <bgColor rgb="FF15384A"/>
      </patternFill>
    </fill>
    <fill>
      <patternFill patternType="solid">
        <fgColor rgb="FFEDF4F8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3653"/>
          <bgColor rgb="FF000000"/>
        </patternFill>
      </fill>
    </dxf>
    <dxf>
      <fill>
        <patternFill patternType="solid">
          <fgColor rgb="FFEDF4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565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5384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4F8"/>
      <rgbColor rgb="FFCCFF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653"/>
      <rgbColor rgb="FF339966"/>
      <rgbColor rgb="FF003300"/>
      <rgbColor rgb="FF333300"/>
      <rgbColor rgb="FF993300"/>
      <rgbColor rgb="FF993366"/>
      <rgbColor rgb="FF333399"/>
      <rgbColor rgb="FF1538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G2" activeCellId="0" sqref="G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3"/>
    <col collapsed="false" customWidth="true" hidden="false" outlineLevel="0" max="3" min="3" style="1" width="16"/>
    <col collapsed="false" customWidth="true" hidden="false" outlineLevel="0" max="6" min="4" style="1" width="22"/>
    <col collapsed="false" customWidth="true" hidden="false" outlineLevel="0" max="7" min="7" style="1" width="19.98"/>
    <col collapsed="false" customWidth="true" hidden="false" outlineLevel="0" max="8" min="8" style="1" width="31.98"/>
    <col collapsed="false" customWidth="true" hidden="false" outlineLevel="0" max="14" min="9" style="1" width="22"/>
    <col collapsed="false" customWidth="true" hidden="false" outlineLevel="0" max="15" min="15" style="1" width="29"/>
    <col collapsed="false" customWidth="true" hidden="false" outlineLevel="0" max="16" min="16" style="1" width="20"/>
    <col collapsed="false" customWidth="true" hidden="false" outlineLevel="0" max="17" min="17" style="1" width="34"/>
    <col collapsed="false" customWidth="true" hidden="false" outlineLevel="0" max="18" min="18" style="1" width="16"/>
    <col collapsed="false" customWidth="true" hidden="false" outlineLevel="0" max="19" min="19" style="1" width="24"/>
    <col collapsed="false" customWidth="true" hidden="false" outlineLevel="0" max="21" min="20" style="1" width="2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customFormat="false" ht="45" hidden="false" customHeight="true" outlineLevel="0" collapsed="false">
      <c r="A2" s="3" t="s">
        <v>21</v>
      </c>
      <c r="B2" s="3" t="s">
        <v>22</v>
      </c>
      <c r="C2" s="3" t="n">
        <v>200</v>
      </c>
      <c r="D2" s="4" t="n">
        <f aca="false">ROUNDUP(LOG(C2+2,2),0)</f>
        <v>8</v>
      </c>
      <c r="E2" s="4" t="n">
        <f aca="false">32-D2</f>
        <v>24</v>
      </c>
      <c r="F2" s="4" t="n">
        <f aca="false">2^D2</f>
        <v>256</v>
      </c>
      <c r="G2" s="4" t="n">
        <f aca="false">F2-2</f>
        <v>254</v>
      </c>
      <c r="H2" s="4" t="str">
        <f aca="false">IF(E2&gt;=24,DEC2BIN(256-2^(32-E2),8),"No aplica: prefijo menor a /24")</f>
        <v>00000000</v>
      </c>
      <c r="I2" s="4" t="str">
        <f aca="false">(256-2^MAX(0,MIN(8,8-E2)))&amp;"."&amp;(256-2^MAX(0,MIN(8,16-E2)))&amp;"."&amp;(256-2^MAX(0,MIN(8,24-E2)))&amp;"."&amp;(256-2^MAX(0,MIN(8,32-E2)))</f>
        <v>255.255.255.0</v>
      </c>
      <c r="J2" s="4" t="n">
        <f aca="false">Parametros!B4</f>
        <v>2886729728</v>
      </c>
      <c r="K2" s="4" t="str">
        <f aca="false">INT((J2)/16777216)&amp;"."&amp;MOD(INT((J2)/65536),256)&amp;"."&amp;MOD(INT((J2)/256),256)&amp;"."&amp;MOD((J2),256)</f>
        <v>172.16.0.0</v>
      </c>
      <c r="L2" s="4" t="str">
        <f aca="false">INT((J2+1)/16777216)&amp;"."&amp;MOD(INT((J2+1)/65536),256)&amp;"."&amp;MOD(INT((J2+1)/256),256)&amp;"."&amp;MOD((J2+1),256)</f>
        <v>172.16.0.1</v>
      </c>
      <c r="M2" s="4" t="str">
        <f aca="false">INT((J2+F2-2)/16777216)&amp;"."&amp;MOD(INT((J2+F2-2)/65536),256)&amp;"."&amp;MOD(INT((J2+F2-2)/256),256)&amp;"."&amp;MOD((J2+F2-2),256)</f>
        <v>172.16.0.254</v>
      </c>
      <c r="N2" s="4" t="str">
        <f aca="false">INT((J2+F2-1)/16777216)&amp;"."&amp;MOD(INT((J2+F2-1)/65536),256)&amp;"."&amp;MOD(INT((J2+F2-1)/256),256)&amp;"."&amp;MOD((J2+F2-1),256)</f>
        <v>172.16.0.255</v>
      </c>
      <c r="O2" s="4" t="str">
        <f aca="false">L2</f>
        <v>172.16.0.1</v>
      </c>
      <c r="P2" s="3" t="n">
        <v>220</v>
      </c>
      <c r="Q2" s="3" t="s">
        <v>23</v>
      </c>
      <c r="R2" s="3" t="n">
        <v>1</v>
      </c>
      <c r="S2" s="4" t="n">
        <f aca="false">G2-R2</f>
        <v>253</v>
      </c>
      <c r="T2" s="4" t="str">
        <f aca="false">IF(MOD(J2,F2)=0,"OK","REVISAR")</f>
        <v>OK</v>
      </c>
      <c r="U2" s="4" t="str">
        <f aca="false">IF(G2&gt;=C2,"OK","INSUFICIENTE")</f>
        <v>OK</v>
      </c>
    </row>
    <row r="3" customFormat="false" ht="45" hidden="false" customHeight="true" outlineLevel="0" collapsed="false">
      <c r="A3" s="5" t="s">
        <v>24</v>
      </c>
      <c r="B3" s="5" t="s">
        <v>25</v>
      </c>
      <c r="C3" s="5" t="n">
        <v>160</v>
      </c>
      <c r="D3" s="6" t="n">
        <f aca="false">ROUNDUP(LOG(C3+2,2),0)</f>
        <v>8</v>
      </c>
      <c r="E3" s="6" t="n">
        <f aca="false">32-D3</f>
        <v>24</v>
      </c>
      <c r="F3" s="6" t="n">
        <f aca="false">2^D3</f>
        <v>256</v>
      </c>
      <c r="G3" s="6" t="n">
        <f aca="false">F3-2</f>
        <v>254</v>
      </c>
      <c r="H3" s="6" t="str">
        <f aca="false">IF(E3&gt;=24,DEC2BIN(256-2^(32-E3),8),"No aplica: prefijo menor a /24")</f>
        <v>00000000</v>
      </c>
      <c r="I3" s="6" t="str">
        <f aca="false">(256-2^MAX(0,MIN(8,8-E3)))&amp;"."&amp;(256-2^MAX(0,MIN(8,16-E3)))&amp;"."&amp;(256-2^MAX(0,MIN(8,24-E3)))&amp;"."&amp;(256-2^MAX(0,MIN(8,32-E3)))</f>
        <v>255.255.255.0</v>
      </c>
      <c r="J3" s="6" t="n">
        <f aca="false">J2+F2</f>
        <v>2886729984</v>
      </c>
      <c r="K3" s="6" t="str">
        <f aca="false">INT((J3)/16777216)&amp;"."&amp;MOD(INT((J3)/65536),256)&amp;"."&amp;MOD(INT((J3)/256),256)&amp;"."&amp;MOD((J3),256)</f>
        <v>172.16.1.0</v>
      </c>
      <c r="L3" s="6" t="str">
        <f aca="false">INT((J3+1)/16777216)&amp;"."&amp;MOD(INT((J3+1)/65536),256)&amp;"."&amp;MOD(INT((J3+1)/256),256)&amp;"."&amp;MOD((J3+1),256)</f>
        <v>172.16.1.1</v>
      </c>
      <c r="M3" s="6" t="str">
        <f aca="false">INT((J3+F3-2)/16777216)&amp;"."&amp;MOD(INT((J3+F3-2)/65536),256)&amp;"."&amp;MOD(INT((J3+F3-2)/256),256)&amp;"."&amp;MOD((J3+F3-2),256)</f>
        <v>172.16.1.254</v>
      </c>
      <c r="N3" s="6" t="str">
        <f aca="false">INT((J3+F3-1)/16777216)&amp;"."&amp;MOD(INT((J3+F3-1)/65536),256)&amp;"."&amp;MOD(INT((J3+F3-1)/256),256)&amp;"."&amp;MOD((J3+F3-1),256)</f>
        <v>172.16.1.255</v>
      </c>
      <c r="O3" s="6" t="str">
        <f aca="false">L3</f>
        <v>172.16.1.1</v>
      </c>
      <c r="P3" s="5" t="n">
        <v>250</v>
      </c>
      <c r="Q3" s="5" t="s">
        <v>26</v>
      </c>
      <c r="R3" s="5" t="n">
        <v>1</v>
      </c>
      <c r="S3" s="6" t="n">
        <f aca="false">G3-R3</f>
        <v>253</v>
      </c>
      <c r="T3" s="6" t="str">
        <f aca="false">IF(MOD(J3,F3)=0,"OK","REVISAR")</f>
        <v>OK</v>
      </c>
      <c r="U3" s="6" t="str">
        <f aca="false">IF(G3&gt;=C3,"OK","INSUFICIENTE")</f>
        <v>OK</v>
      </c>
    </row>
    <row r="4" customFormat="false" ht="45" hidden="false" customHeight="true" outlineLevel="0" collapsed="false">
      <c r="A4" s="3" t="s">
        <v>27</v>
      </c>
      <c r="B4" s="3" t="s">
        <v>28</v>
      </c>
      <c r="C4" s="3" t="n">
        <v>120</v>
      </c>
      <c r="D4" s="4" t="n">
        <f aca="false">ROUNDUP(LOG(C4+2,2),0)</f>
        <v>7</v>
      </c>
      <c r="E4" s="4" t="n">
        <f aca="false">32-D4</f>
        <v>25</v>
      </c>
      <c r="F4" s="4" t="n">
        <f aca="false">2^D4</f>
        <v>128</v>
      </c>
      <c r="G4" s="4" t="n">
        <f aca="false">F4-2</f>
        <v>126</v>
      </c>
      <c r="H4" s="4" t="str">
        <f aca="false">IF(E4&gt;=24,DEC2BIN(256-2^(32-E4),8),"No aplica: prefijo menor a /24")</f>
        <v>10000000</v>
      </c>
      <c r="I4" s="4" t="str">
        <f aca="false">(256-2^MAX(0,MIN(8,8-E4)))&amp;"."&amp;(256-2^MAX(0,MIN(8,16-E4)))&amp;"."&amp;(256-2^MAX(0,MIN(8,24-E4)))&amp;"."&amp;(256-2^MAX(0,MIN(8,32-E4)))</f>
        <v>255.255.255.128</v>
      </c>
      <c r="J4" s="4" t="n">
        <f aca="false">J3+F3</f>
        <v>2886730240</v>
      </c>
      <c r="K4" s="4" t="str">
        <f aca="false">INT((J4)/16777216)&amp;"."&amp;MOD(INT((J4)/65536),256)&amp;"."&amp;MOD(INT((J4)/256),256)&amp;"."&amp;MOD((J4),256)</f>
        <v>172.16.2.0</v>
      </c>
      <c r="L4" s="4" t="str">
        <f aca="false">INT((J4+1)/16777216)&amp;"."&amp;MOD(INT((J4+1)/65536),256)&amp;"."&amp;MOD(INT((J4+1)/256),256)&amp;"."&amp;MOD((J4+1),256)</f>
        <v>172.16.2.1</v>
      </c>
      <c r="M4" s="4" t="str">
        <f aca="false">INT((J4+F4-2)/16777216)&amp;"."&amp;MOD(INT((J4+F4-2)/65536),256)&amp;"."&amp;MOD(INT((J4+F4-2)/256),256)&amp;"."&amp;MOD((J4+F4-2),256)</f>
        <v>172.16.2.126</v>
      </c>
      <c r="N4" s="4" t="str">
        <f aca="false">INT((J4+F4-1)/16777216)&amp;"."&amp;MOD(INT((J4+F4-1)/65536),256)&amp;"."&amp;MOD(INT((J4+F4-1)/256),256)&amp;"."&amp;MOD((J4+F4-1),256)</f>
        <v>172.16.2.127</v>
      </c>
      <c r="O4" s="4" t="str">
        <f aca="false">L4</f>
        <v>172.16.2.1</v>
      </c>
      <c r="P4" s="3" t="n">
        <v>210</v>
      </c>
      <c r="Q4" s="3" t="s">
        <v>29</v>
      </c>
      <c r="R4" s="3" t="n">
        <v>1</v>
      </c>
      <c r="S4" s="4" t="n">
        <f aca="false">G4-R4</f>
        <v>125</v>
      </c>
      <c r="T4" s="4" t="str">
        <f aca="false">IF(MOD(J4,F4)=0,"OK","REVISAR")</f>
        <v>OK</v>
      </c>
      <c r="U4" s="4" t="str">
        <f aca="false">IF(G4&gt;=C4,"OK","INSUFICIENTE")</f>
        <v>OK</v>
      </c>
    </row>
    <row r="5" customFormat="false" ht="45" hidden="false" customHeight="true" outlineLevel="0" collapsed="false">
      <c r="A5" s="5" t="s">
        <v>30</v>
      </c>
      <c r="B5" s="5" t="s">
        <v>31</v>
      </c>
      <c r="C5" s="5" t="n">
        <v>70</v>
      </c>
      <c r="D5" s="6" t="n">
        <f aca="false">ROUNDUP(LOG(C5+2,2),0)</f>
        <v>7</v>
      </c>
      <c r="E5" s="6" t="n">
        <f aca="false">32-D5</f>
        <v>25</v>
      </c>
      <c r="F5" s="6" t="n">
        <f aca="false">2^D5</f>
        <v>128</v>
      </c>
      <c r="G5" s="6" t="n">
        <f aca="false">F5-2</f>
        <v>126</v>
      </c>
      <c r="H5" s="6" t="str">
        <f aca="false">IF(E5&gt;=24,DEC2BIN(256-2^(32-E5),8),"No aplica: prefijo menor a /24")</f>
        <v>10000000</v>
      </c>
      <c r="I5" s="6" t="str">
        <f aca="false">(256-2^MAX(0,MIN(8,8-E5)))&amp;"."&amp;(256-2^MAX(0,MIN(8,16-E5)))&amp;"."&amp;(256-2^MAX(0,MIN(8,24-E5)))&amp;"."&amp;(256-2^MAX(0,MIN(8,32-E5)))</f>
        <v>255.255.255.128</v>
      </c>
      <c r="J5" s="6" t="n">
        <f aca="false">J4+F4</f>
        <v>2886730368</v>
      </c>
      <c r="K5" s="6" t="str">
        <f aca="false">INT((J5)/16777216)&amp;"."&amp;MOD(INT((J5)/65536),256)&amp;"."&amp;MOD(INT((J5)/256),256)&amp;"."&amp;MOD((J5),256)</f>
        <v>172.16.2.128</v>
      </c>
      <c r="L5" s="6" t="str">
        <f aca="false">INT((J5+1)/16777216)&amp;"."&amp;MOD(INT((J5+1)/65536),256)&amp;"."&amp;MOD(INT((J5+1)/256),256)&amp;"."&amp;MOD((J5+1),256)</f>
        <v>172.16.2.129</v>
      </c>
      <c r="M5" s="6" t="str">
        <f aca="false">INT((J5+F5-2)/16777216)&amp;"."&amp;MOD(INT((J5+F5-2)/65536),256)&amp;"."&amp;MOD(INT((J5+F5-2)/256),256)&amp;"."&amp;MOD((J5+F5-2),256)</f>
        <v>172.16.2.254</v>
      </c>
      <c r="N5" s="6" t="str">
        <f aca="false">INT((J5+F5-1)/16777216)&amp;"."&amp;MOD(INT((J5+F5-1)/65536),256)&amp;"."&amp;MOD(INT((J5+F5-1)/256),256)&amp;"."&amp;MOD((J5+F5-1),256)</f>
        <v>172.16.2.255</v>
      </c>
      <c r="O5" s="6" t="str">
        <f aca="false">L5</f>
        <v>172.16.2.129</v>
      </c>
      <c r="P5" s="5" t="n">
        <v>260</v>
      </c>
      <c r="Q5" s="5" t="s">
        <v>32</v>
      </c>
      <c r="R5" s="5" t="n">
        <v>1</v>
      </c>
      <c r="S5" s="6" t="n">
        <f aca="false">G5-R5</f>
        <v>125</v>
      </c>
      <c r="T5" s="6" t="str">
        <f aca="false">IF(MOD(J5,F5)=0,"OK","REVISAR")</f>
        <v>OK</v>
      </c>
      <c r="U5" s="6" t="str">
        <f aca="false">IF(G5&gt;=C5,"OK","INSUFICIENTE")</f>
        <v>OK</v>
      </c>
    </row>
    <row r="6" customFormat="false" ht="45" hidden="false" customHeight="true" outlineLevel="0" collapsed="false">
      <c r="A6" s="3" t="s">
        <v>33</v>
      </c>
      <c r="B6" s="3" t="s">
        <v>34</v>
      </c>
      <c r="C6" s="3" t="n">
        <v>55</v>
      </c>
      <c r="D6" s="4" t="n">
        <f aca="false">ROUNDUP(LOG(C6+2,2),0)</f>
        <v>6</v>
      </c>
      <c r="E6" s="4" t="n">
        <f aca="false">32-D6</f>
        <v>26</v>
      </c>
      <c r="F6" s="4" t="n">
        <f aca="false">2^D6</f>
        <v>64</v>
      </c>
      <c r="G6" s="4" t="n">
        <f aca="false">F6-2</f>
        <v>62</v>
      </c>
      <c r="H6" s="4" t="str">
        <f aca="false">IF(E6&gt;=24,DEC2BIN(256-2^(32-E6),8),"No aplica: prefijo menor a /24")</f>
        <v>11000000</v>
      </c>
      <c r="I6" s="4" t="str">
        <f aca="false">(256-2^MAX(0,MIN(8,8-E6)))&amp;"."&amp;(256-2^MAX(0,MIN(8,16-E6)))&amp;"."&amp;(256-2^MAX(0,MIN(8,24-E6)))&amp;"."&amp;(256-2^MAX(0,MIN(8,32-E6)))</f>
        <v>255.255.255.192</v>
      </c>
      <c r="J6" s="4" t="n">
        <f aca="false">J5+F5</f>
        <v>2886730496</v>
      </c>
      <c r="K6" s="4" t="str">
        <f aca="false">INT((J6)/16777216)&amp;"."&amp;MOD(INT((J6)/65536),256)&amp;"."&amp;MOD(INT((J6)/256),256)&amp;"."&amp;MOD((J6),256)</f>
        <v>172.16.3.0</v>
      </c>
      <c r="L6" s="4" t="str">
        <f aca="false">INT((J6+1)/16777216)&amp;"."&amp;MOD(INT((J6+1)/65536),256)&amp;"."&amp;MOD(INT((J6+1)/256),256)&amp;"."&amp;MOD((J6+1),256)</f>
        <v>172.16.3.1</v>
      </c>
      <c r="M6" s="4" t="str">
        <f aca="false">INT((J6+F6-2)/16777216)&amp;"."&amp;MOD(INT((J6+F6-2)/65536),256)&amp;"."&amp;MOD(INT((J6+F6-2)/256),256)&amp;"."&amp;MOD((J6+F6-2),256)</f>
        <v>172.16.3.62</v>
      </c>
      <c r="N6" s="4" t="str">
        <f aca="false">INT((J6+F6-1)/16777216)&amp;"."&amp;MOD(INT((J6+F6-1)/65536),256)&amp;"."&amp;MOD(INT((J6+F6-1)/256),256)&amp;"."&amp;MOD((J6+F6-1),256)</f>
        <v>172.16.3.63</v>
      </c>
      <c r="O6" s="4" t="str">
        <f aca="false">L6</f>
        <v>172.16.3.1</v>
      </c>
      <c r="P6" s="3" t="n">
        <v>230</v>
      </c>
      <c r="Q6" s="3" t="s">
        <v>35</v>
      </c>
      <c r="R6" s="3" t="n">
        <v>1</v>
      </c>
      <c r="S6" s="4" t="n">
        <f aca="false">G6-R6</f>
        <v>61</v>
      </c>
      <c r="T6" s="4" t="str">
        <f aca="false">IF(MOD(J6,F6)=0,"OK","REVISAR")</f>
        <v>OK</v>
      </c>
      <c r="U6" s="4" t="str">
        <f aca="false">IF(G6&gt;=C6,"OK","INSUFICIENTE")</f>
        <v>OK</v>
      </c>
    </row>
    <row r="7" customFormat="false" ht="45" hidden="false" customHeight="true" outlineLevel="0" collapsed="false">
      <c r="A7" s="5" t="s">
        <v>36</v>
      </c>
      <c r="B7" s="5" t="s">
        <v>37</v>
      </c>
      <c r="C7" s="5" t="n">
        <v>40</v>
      </c>
      <c r="D7" s="6" t="n">
        <f aca="false">ROUNDUP(LOG(C7+2,2),0)</f>
        <v>6</v>
      </c>
      <c r="E7" s="6" t="n">
        <f aca="false">32-D7</f>
        <v>26</v>
      </c>
      <c r="F7" s="6" t="n">
        <f aca="false">2^D7</f>
        <v>64</v>
      </c>
      <c r="G7" s="6" t="n">
        <f aca="false">F7-2</f>
        <v>62</v>
      </c>
      <c r="H7" s="6" t="str">
        <f aca="false">IF(E7&gt;=24,DEC2BIN(256-2^(32-E7),8),"No aplica: prefijo menor a /24")</f>
        <v>11000000</v>
      </c>
      <c r="I7" s="6" t="str">
        <f aca="false">(256-2^MAX(0,MIN(8,8-E7)))&amp;"."&amp;(256-2^MAX(0,MIN(8,16-E7)))&amp;"."&amp;(256-2^MAX(0,MIN(8,24-E7)))&amp;"."&amp;(256-2^MAX(0,MIN(8,32-E7)))</f>
        <v>255.255.255.192</v>
      </c>
      <c r="J7" s="6" t="n">
        <f aca="false">J6+F6</f>
        <v>2886730560</v>
      </c>
      <c r="K7" s="6" t="str">
        <f aca="false">INT((J7)/16777216)&amp;"."&amp;MOD(INT((J7)/65536),256)&amp;"."&amp;MOD(INT((J7)/256),256)&amp;"."&amp;MOD((J7),256)</f>
        <v>172.16.3.64</v>
      </c>
      <c r="L7" s="6" t="str">
        <f aca="false">INT((J7+1)/16777216)&amp;"."&amp;MOD(INT((J7+1)/65536),256)&amp;"."&amp;MOD(INT((J7+1)/256),256)&amp;"."&amp;MOD((J7+1),256)</f>
        <v>172.16.3.65</v>
      </c>
      <c r="M7" s="6" t="str">
        <f aca="false">INT((J7+F7-2)/16777216)&amp;"."&amp;MOD(INT((J7+F7-2)/65536),256)&amp;"."&amp;MOD(INT((J7+F7-2)/256),256)&amp;"."&amp;MOD((J7+F7-2),256)</f>
        <v>172.16.3.126</v>
      </c>
      <c r="N7" s="6" t="str">
        <f aca="false">INT((J7+F7-1)/16777216)&amp;"."&amp;MOD(INT((J7+F7-1)/65536),256)&amp;"."&amp;MOD(INT((J7+F7-1)/256),256)&amp;"."&amp;MOD((J7+F7-1),256)</f>
        <v>172.16.3.127</v>
      </c>
      <c r="O7" s="6" t="str">
        <f aca="false">L7</f>
        <v>172.16.3.65</v>
      </c>
      <c r="P7" s="5" t="n">
        <v>270</v>
      </c>
      <c r="Q7" s="5" t="s">
        <v>38</v>
      </c>
      <c r="R7" s="5" t="n">
        <v>2</v>
      </c>
      <c r="S7" s="6" t="n">
        <f aca="false">G7-R7</f>
        <v>60</v>
      </c>
      <c r="T7" s="6" t="str">
        <f aca="false">IF(MOD(J7,F7)=0,"OK","REVISAR")</f>
        <v>OK</v>
      </c>
      <c r="U7" s="6" t="str">
        <f aca="false">IF(G7&gt;=C7,"OK","INSUFICIENTE")</f>
        <v>OK</v>
      </c>
    </row>
    <row r="8" customFormat="false" ht="45" hidden="false" customHeight="true" outlineLevel="0" collapsed="false">
      <c r="A8" s="3" t="s">
        <v>39</v>
      </c>
      <c r="B8" s="3" t="s">
        <v>40</v>
      </c>
      <c r="C8" s="3" t="n">
        <v>30</v>
      </c>
      <c r="D8" s="4" t="n">
        <f aca="false">ROUNDUP(LOG(C8+2,2),0)</f>
        <v>5</v>
      </c>
      <c r="E8" s="4" t="n">
        <f aca="false">32-D8</f>
        <v>27</v>
      </c>
      <c r="F8" s="4" t="n">
        <f aca="false">2^D8</f>
        <v>32</v>
      </c>
      <c r="G8" s="4" t="n">
        <f aca="false">F8-2</f>
        <v>30</v>
      </c>
      <c r="H8" s="4" t="str">
        <f aca="false">IF(E8&gt;=24,DEC2BIN(256-2^(32-E8),8),"No aplica: prefijo menor a /24")</f>
        <v>11100000</v>
      </c>
      <c r="I8" s="4" t="str">
        <f aca="false">(256-2^MAX(0,MIN(8,8-E8)))&amp;"."&amp;(256-2^MAX(0,MIN(8,16-E8)))&amp;"."&amp;(256-2^MAX(0,MIN(8,24-E8)))&amp;"."&amp;(256-2^MAX(0,MIN(8,32-E8)))</f>
        <v>255.255.255.224</v>
      </c>
      <c r="J8" s="4" t="n">
        <f aca="false">J7+F7</f>
        <v>2886730624</v>
      </c>
      <c r="K8" s="4" t="str">
        <f aca="false">INT((J8)/16777216)&amp;"."&amp;MOD(INT((J8)/65536),256)&amp;"."&amp;MOD(INT((J8)/256),256)&amp;"."&amp;MOD((J8),256)</f>
        <v>172.16.3.128</v>
      </c>
      <c r="L8" s="4" t="str">
        <f aca="false">INT((J8+1)/16777216)&amp;"."&amp;MOD(INT((J8+1)/65536),256)&amp;"."&amp;MOD(INT((J8+1)/256),256)&amp;"."&amp;MOD((J8+1),256)</f>
        <v>172.16.3.129</v>
      </c>
      <c r="M8" s="4" t="str">
        <f aca="false">INT((J8+F8-2)/16777216)&amp;"."&amp;MOD(INT((J8+F8-2)/65536),256)&amp;"."&amp;MOD(INT((J8+F8-2)/256),256)&amp;"."&amp;MOD((J8+F8-2),256)</f>
        <v>172.16.3.158</v>
      </c>
      <c r="N8" s="4" t="str">
        <f aca="false">INT((J8+F8-1)/16777216)&amp;"."&amp;MOD(INT((J8+F8-1)/65536),256)&amp;"."&amp;MOD(INT((J8+F8-1)/256),256)&amp;"."&amp;MOD((J8+F8-1),256)</f>
        <v>172.16.3.159</v>
      </c>
      <c r="O8" s="4" t="str">
        <f aca="false">L8</f>
        <v>172.16.3.129</v>
      </c>
      <c r="P8" s="3" t="n">
        <v>240</v>
      </c>
      <c r="Q8" s="3" t="s">
        <v>41</v>
      </c>
      <c r="R8" s="3" t="n">
        <v>2</v>
      </c>
      <c r="S8" s="4" t="n">
        <f aca="false">G8-R8</f>
        <v>28</v>
      </c>
      <c r="T8" s="4" t="str">
        <f aca="false">IF(MOD(J8,F8)=0,"OK","REVISAR")</f>
        <v>OK</v>
      </c>
      <c r="U8" s="4" t="str">
        <f aca="false">IF(G8&gt;=C8,"OK","INSUFICIENTE")</f>
        <v>OK</v>
      </c>
    </row>
    <row r="9" customFormat="false" ht="45" hidden="false" customHeight="true" outlineLevel="0" collapsed="false">
      <c r="A9" s="5" t="s">
        <v>42</v>
      </c>
      <c r="B9" s="5" t="s">
        <v>43</v>
      </c>
      <c r="C9" s="5" t="n">
        <v>25</v>
      </c>
      <c r="D9" s="6" t="n">
        <f aca="false">ROUNDUP(LOG(C9+2,2),0)</f>
        <v>5</v>
      </c>
      <c r="E9" s="6" t="n">
        <f aca="false">32-D9</f>
        <v>27</v>
      </c>
      <c r="F9" s="6" t="n">
        <f aca="false">2^D9</f>
        <v>32</v>
      </c>
      <c r="G9" s="6" t="n">
        <f aca="false">F9-2</f>
        <v>30</v>
      </c>
      <c r="H9" s="6" t="str">
        <f aca="false">IF(E9&gt;=24,DEC2BIN(256-2^(32-E9),8),"No aplica: prefijo menor a /24")</f>
        <v>11100000</v>
      </c>
      <c r="I9" s="6" t="str">
        <f aca="false">(256-2^MAX(0,MIN(8,8-E9)))&amp;"."&amp;(256-2^MAX(0,MIN(8,16-E9)))&amp;"."&amp;(256-2^MAX(0,MIN(8,24-E9)))&amp;"."&amp;(256-2^MAX(0,MIN(8,32-E9)))</f>
        <v>255.255.255.224</v>
      </c>
      <c r="J9" s="6" t="n">
        <f aca="false">J8+F8</f>
        <v>2886730656</v>
      </c>
      <c r="K9" s="6" t="str">
        <f aca="false">INT((J9)/16777216)&amp;"."&amp;MOD(INT((J9)/65536),256)&amp;"."&amp;MOD(INT((J9)/256),256)&amp;"."&amp;MOD((J9),256)</f>
        <v>172.16.3.160</v>
      </c>
      <c r="L9" s="6" t="str">
        <f aca="false">INT((J9+1)/16777216)&amp;"."&amp;MOD(INT((J9+1)/65536),256)&amp;"."&amp;MOD(INT((J9+1)/256),256)&amp;"."&amp;MOD((J9+1),256)</f>
        <v>172.16.3.161</v>
      </c>
      <c r="M9" s="6" t="str">
        <f aca="false">INT((J9+F9-2)/16777216)&amp;"."&amp;MOD(INT((J9+F9-2)/65536),256)&amp;"."&amp;MOD(INT((J9+F9-2)/256),256)&amp;"."&amp;MOD((J9+F9-2),256)</f>
        <v>172.16.3.190</v>
      </c>
      <c r="N9" s="6" t="str">
        <f aca="false">INT((J9+F9-1)/16777216)&amp;"."&amp;MOD(INT((J9+F9-1)/65536),256)&amp;"."&amp;MOD(INT((J9+F9-1)/256),256)&amp;"."&amp;MOD((J9+F9-1),256)</f>
        <v>172.16.3.191</v>
      </c>
      <c r="O9" s="6" t="str">
        <f aca="false">L9</f>
        <v>172.16.3.161</v>
      </c>
      <c r="P9" s="5" t="n">
        <v>280</v>
      </c>
      <c r="Q9" s="5" t="s">
        <v>44</v>
      </c>
      <c r="R9" s="5" t="n">
        <v>1</v>
      </c>
      <c r="S9" s="6" t="n">
        <f aca="false">G9-R9</f>
        <v>29</v>
      </c>
      <c r="T9" s="6" t="str">
        <f aca="false">IF(MOD(J9,F9)=0,"OK","REVISAR")</f>
        <v>OK</v>
      </c>
      <c r="U9" s="6" t="str">
        <f aca="false">IF(G9&gt;=C9,"OK","INSUFICIENTE")</f>
        <v>OK</v>
      </c>
    </row>
    <row r="10" customFormat="false" ht="45" hidden="false" customHeight="true" outlineLevel="0" collapsed="false">
      <c r="A10" s="3" t="s">
        <v>45</v>
      </c>
      <c r="B10" s="3" t="s">
        <v>46</v>
      </c>
      <c r="C10" s="3" t="n">
        <v>4</v>
      </c>
      <c r="D10" s="4" t="n">
        <f aca="false">ROUNDUP(LOG(C10+2,2),0)</f>
        <v>3</v>
      </c>
      <c r="E10" s="4" t="n">
        <f aca="false">32-D10</f>
        <v>29</v>
      </c>
      <c r="F10" s="4" t="n">
        <f aca="false">2^D10</f>
        <v>8</v>
      </c>
      <c r="G10" s="4" t="n">
        <f aca="false">F10-2</f>
        <v>6</v>
      </c>
      <c r="H10" s="4" t="str">
        <f aca="false">IF(E10&gt;=24,DEC2BIN(256-2^(32-E10),8),"No aplica: prefijo menor a /24")</f>
        <v>11111000</v>
      </c>
      <c r="I10" s="4" t="str">
        <f aca="false">(256-2^MAX(0,MIN(8,8-E10)))&amp;"."&amp;(256-2^MAX(0,MIN(8,16-E10)))&amp;"."&amp;(256-2^MAX(0,MIN(8,24-E10)))&amp;"."&amp;(256-2^MAX(0,MIN(8,32-E10)))</f>
        <v>255.255.255.248</v>
      </c>
      <c r="J10" s="4" t="n">
        <f aca="false">J9+F9</f>
        <v>2886730688</v>
      </c>
      <c r="K10" s="4" t="str">
        <f aca="false">INT((J10)/16777216)&amp;"."&amp;MOD(INT((J10)/65536),256)&amp;"."&amp;MOD(INT((J10)/256),256)&amp;"."&amp;MOD((J10),256)</f>
        <v>172.16.3.192</v>
      </c>
      <c r="L10" s="4" t="str">
        <f aca="false">INT((J10+1)/16777216)&amp;"."&amp;MOD(INT((J10+1)/65536),256)&amp;"."&amp;MOD(INT((J10+1)/256),256)&amp;"."&amp;MOD((J10+1),256)</f>
        <v>172.16.3.193</v>
      </c>
      <c r="M10" s="4" t="str">
        <f aca="false">INT((J10+F10-2)/16777216)&amp;"."&amp;MOD(INT((J10+F10-2)/65536),256)&amp;"."&amp;MOD(INT((J10+F10-2)/256),256)&amp;"."&amp;MOD((J10+F10-2),256)</f>
        <v>172.16.3.198</v>
      </c>
      <c r="N10" s="4" t="str">
        <f aca="false">INT((J10+F10-1)/16777216)&amp;"."&amp;MOD(INT((J10+F10-1)/65536),256)&amp;"."&amp;MOD(INT((J10+F10-1)/256),256)&amp;"."&amp;MOD((J10+F10-1),256)</f>
        <v>172.16.3.199</v>
      </c>
      <c r="O10" s="3" t="s">
        <v>47</v>
      </c>
      <c r="P10" s="3" t="s">
        <v>48</v>
      </c>
      <c r="Q10" s="3" t="s">
        <v>49</v>
      </c>
      <c r="R10" s="3" t="n">
        <v>4</v>
      </c>
      <c r="S10" s="4" t="n">
        <f aca="false">G10-R10</f>
        <v>2</v>
      </c>
      <c r="T10" s="4" t="str">
        <f aca="false">IF(MOD(J10,F10)=0,"OK","REVISAR")</f>
        <v>OK</v>
      </c>
      <c r="U10" s="4" t="str">
        <f aca="false">IF(G10&gt;=C10,"OK","INSUFICIENTE")</f>
        <v>OK</v>
      </c>
    </row>
  </sheetData>
  <autoFilter ref="A1:U10"/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</cols>
  <sheetData>
    <row r="1" customFormat="false" ht="15" hidden="false" customHeight="false" outlineLevel="0" collapsed="false">
      <c r="A1" s="2" t="s">
        <v>50</v>
      </c>
      <c r="B1" s="2" t="s">
        <v>51</v>
      </c>
    </row>
    <row r="2" customFormat="false" ht="31.5" hidden="false" customHeight="true" outlineLevel="0" collapsed="false">
      <c r="A2" s="3" t="s">
        <v>52</v>
      </c>
      <c r="B2" s="3" t="s">
        <v>53</v>
      </c>
    </row>
    <row r="3" customFormat="false" ht="31.5" hidden="false" customHeight="true" outlineLevel="0" collapsed="false">
      <c r="A3" s="5" t="s">
        <v>54</v>
      </c>
      <c r="B3" s="5" t="s">
        <v>55</v>
      </c>
    </row>
    <row r="4" customFormat="false" ht="31.5" hidden="false" customHeight="true" outlineLevel="0" collapsed="false">
      <c r="A4" s="3" t="s">
        <v>56</v>
      </c>
      <c r="B4" s="3" t="n">
        <v>2886729728</v>
      </c>
    </row>
    <row r="5" customFormat="false" ht="31.5" hidden="false" customHeight="true" outlineLevel="0" collapsed="false">
      <c r="A5" s="5" t="s">
        <v>57</v>
      </c>
      <c r="B5" s="5" t="n">
        <v>22</v>
      </c>
    </row>
    <row r="6" customFormat="false" ht="31.5" hidden="false" customHeight="true" outlineLevel="0" collapsed="false">
      <c r="A6" s="3" t="s">
        <v>58</v>
      </c>
      <c r="B6" s="4" t="n">
        <f aca="false">2^(32-B5)</f>
        <v>1024</v>
      </c>
    </row>
    <row r="7" customFormat="false" ht="31.5" hidden="false" customHeight="true" outlineLevel="0" collapsed="false">
      <c r="A7" s="5" t="s">
        <v>59</v>
      </c>
      <c r="B7" s="6" t="n">
        <f aca="false">SUM(VLSM!F2:F10)</f>
        <v>968</v>
      </c>
    </row>
    <row r="8" customFormat="false" ht="31.5" hidden="false" customHeight="true" outlineLevel="0" collapsed="false">
      <c r="A8" s="3" t="s">
        <v>60</v>
      </c>
      <c r="B8" s="4" t="n">
        <f aca="false">B6-B7</f>
        <v>56</v>
      </c>
    </row>
    <row r="9" customFormat="false" ht="31.5" hidden="false" customHeight="true" outlineLevel="0" collapsed="false">
      <c r="A9" s="5" t="s">
        <v>61</v>
      </c>
      <c r="B9" s="6" t="n">
        <f aca="false">32-ROUNDUP(LOG(B7,2),0)</f>
        <v>22</v>
      </c>
    </row>
  </sheetData>
  <autoFilter ref="A1:B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17"/>
    <col collapsed="false" customWidth="true" hidden="false" outlineLevel="0" max="7" min="5" style="1" width="16"/>
  </cols>
  <sheetData>
    <row r="1" customFormat="false" ht="15" hidden="false" customHeight="false" outlineLevel="0" collapsed="false">
      <c r="A1" s="2" t="s">
        <v>62</v>
      </c>
      <c r="B1" s="2" t="s">
        <v>0</v>
      </c>
      <c r="C1" s="2" t="s">
        <v>63</v>
      </c>
      <c r="D1" s="2" t="s">
        <v>64</v>
      </c>
      <c r="E1" s="2" t="s">
        <v>14</v>
      </c>
      <c r="F1" s="2" t="s">
        <v>65</v>
      </c>
      <c r="G1" s="2" t="s">
        <v>66</v>
      </c>
    </row>
    <row r="2" customFormat="false" ht="31.5" hidden="false" customHeight="true" outlineLevel="0" collapsed="false">
      <c r="A2" s="3" t="s">
        <v>67</v>
      </c>
      <c r="B2" s="3" t="s">
        <v>27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</row>
    <row r="3" customFormat="false" ht="31.5" hidden="false" customHeight="true" outlineLevel="0" collapsed="false">
      <c r="A3" s="5" t="s">
        <v>73</v>
      </c>
      <c r="B3" s="5" t="s">
        <v>21</v>
      </c>
      <c r="C3" s="5" t="s">
        <v>74</v>
      </c>
      <c r="D3" s="5" t="s">
        <v>75</v>
      </c>
      <c r="E3" s="5" t="s">
        <v>76</v>
      </c>
      <c r="F3" s="5" t="s">
        <v>71</v>
      </c>
      <c r="G3" s="5" t="s">
        <v>77</v>
      </c>
    </row>
    <row r="4" customFormat="false" ht="31.5" hidden="false" customHeight="true" outlineLevel="0" collapsed="false">
      <c r="A4" s="3" t="s">
        <v>78</v>
      </c>
      <c r="B4" s="3" t="s">
        <v>33</v>
      </c>
      <c r="C4" s="3" t="s">
        <v>79</v>
      </c>
      <c r="D4" s="3" t="s">
        <v>80</v>
      </c>
      <c r="E4" s="3" t="s">
        <v>81</v>
      </c>
      <c r="F4" s="3" t="s">
        <v>71</v>
      </c>
      <c r="G4" s="3" t="s">
        <v>82</v>
      </c>
    </row>
    <row r="5" customFormat="false" ht="31.5" hidden="false" customHeight="true" outlineLevel="0" collapsed="false">
      <c r="A5" s="5" t="s">
        <v>83</v>
      </c>
      <c r="B5" s="5" t="s">
        <v>39</v>
      </c>
      <c r="C5" s="5" t="s">
        <v>84</v>
      </c>
      <c r="D5" s="5" t="s">
        <v>85</v>
      </c>
      <c r="E5" s="5" t="s">
        <v>86</v>
      </c>
      <c r="F5" s="5" t="s">
        <v>71</v>
      </c>
      <c r="G5" s="5" t="s">
        <v>87</v>
      </c>
    </row>
    <row r="6" customFormat="false" ht="31.5" hidden="false" customHeight="true" outlineLevel="0" collapsed="false">
      <c r="A6" s="3" t="s">
        <v>88</v>
      </c>
      <c r="B6" s="3" t="s">
        <v>24</v>
      </c>
      <c r="C6" s="3" t="s">
        <v>89</v>
      </c>
      <c r="D6" s="3" t="s">
        <v>75</v>
      </c>
      <c r="E6" s="3" t="s">
        <v>90</v>
      </c>
      <c r="F6" s="3" t="s">
        <v>71</v>
      </c>
      <c r="G6" s="3" t="s">
        <v>91</v>
      </c>
    </row>
    <row r="7" customFormat="false" ht="31.5" hidden="false" customHeight="true" outlineLevel="0" collapsed="false">
      <c r="A7" s="5" t="s">
        <v>92</v>
      </c>
      <c r="B7" s="5" t="s">
        <v>30</v>
      </c>
      <c r="C7" s="5" t="s">
        <v>93</v>
      </c>
      <c r="D7" s="5" t="s">
        <v>69</v>
      </c>
      <c r="E7" s="5" t="s">
        <v>94</v>
      </c>
      <c r="F7" s="5" t="s">
        <v>71</v>
      </c>
      <c r="G7" s="5" t="s">
        <v>95</v>
      </c>
    </row>
    <row r="8" customFormat="false" ht="31.5" hidden="false" customHeight="true" outlineLevel="0" collapsed="false">
      <c r="A8" s="3" t="s">
        <v>96</v>
      </c>
      <c r="B8" s="3" t="s">
        <v>36</v>
      </c>
      <c r="C8" s="3" t="s">
        <v>97</v>
      </c>
      <c r="D8" s="3" t="s">
        <v>80</v>
      </c>
      <c r="E8" s="3" t="s">
        <v>98</v>
      </c>
      <c r="F8" s="3" t="s">
        <v>71</v>
      </c>
      <c r="G8" s="3" t="s">
        <v>99</v>
      </c>
    </row>
    <row r="9" customFormat="false" ht="31.5" hidden="false" customHeight="true" outlineLevel="0" collapsed="false">
      <c r="A9" s="5" t="s">
        <v>100</v>
      </c>
      <c r="B9" s="5" t="s">
        <v>42</v>
      </c>
      <c r="C9" s="5" t="s">
        <v>101</v>
      </c>
      <c r="D9" s="5" t="s">
        <v>85</v>
      </c>
      <c r="E9" s="5" t="s">
        <v>102</v>
      </c>
      <c r="F9" s="5" t="s">
        <v>71</v>
      </c>
      <c r="G9" s="5" t="s">
        <v>103</v>
      </c>
    </row>
    <row r="10" customFormat="false" ht="31.5" hidden="false" customHeight="true" outlineLevel="0" collapsed="false">
      <c r="A10" s="3" t="s">
        <v>104</v>
      </c>
      <c r="B10" s="3" t="s">
        <v>39</v>
      </c>
      <c r="C10" s="3" t="s">
        <v>71</v>
      </c>
      <c r="D10" s="3" t="s">
        <v>85</v>
      </c>
      <c r="E10" s="3" t="s">
        <v>86</v>
      </c>
      <c r="F10" s="3" t="s">
        <v>71</v>
      </c>
      <c r="G10" s="3" t="s">
        <v>105</v>
      </c>
    </row>
    <row r="11" customFormat="false" ht="31.5" hidden="false" customHeight="true" outlineLevel="0" collapsed="false">
      <c r="A11" s="5" t="s">
        <v>106</v>
      </c>
      <c r="B11" s="5" t="s">
        <v>36</v>
      </c>
      <c r="C11" s="5" t="s">
        <v>107</v>
      </c>
      <c r="D11" s="5" t="s">
        <v>80</v>
      </c>
      <c r="E11" s="5" t="s">
        <v>98</v>
      </c>
      <c r="F11" s="5" t="s">
        <v>71</v>
      </c>
      <c r="G11" s="5" t="s">
        <v>108</v>
      </c>
    </row>
    <row r="12" customFormat="false" ht="31.5" hidden="false" customHeight="true" outlineLevel="0" collapsed="false">
      <c r="A12" s="3" t="s">
        <v>109</v>
      </c>
      <c r="B12" s="3" t="s">
        <v>45</v>
      </c>
      <c r="C12" s="3" t="s">
        <v>110</v>
      </c>
      <c r="D12" s="3" t="s">
        <v>111</v>
      </c>
      <c r="E12" s="3" t="s">
        <v>112</v>
      </c>
      <c r="F12" s="3" t="s">
        <v>112</v>
      </c>
      <c r="G12" s="3" t="s">
        <v>113</v>
      </c>
    </row>
    <row r="13" customFormat="false" ht="31.5" hidden="false" customHeight="true" outlineLevel="0" collapsed="false">
      <c r="A13" s="5" t="s">
        <v>114</v>
      </c>
      <c r="B13" s="5" t="s">
        <v>45</v>
      </c>
      <c r="C13" s="5" t="s">
        <v>115</v>
      </c>
      <c r="D13" s="5" t="s">
        <v>111</v>
      </c>
      <c r="E13" s="5" t="s">
        <v>112</v>
      </c>
      <c r="F13" s="5" t="s">
        <v>112</v>
      </c>
      <c r="G13" s="5" t="s">
        <v>116</v>
      </c>
    </row>
    <row r="14" customFormat="false" ht="31.5" hidden="false" customHeight="true" outlineLevel="0" collapsed="false">
      <c r="A14" s="3" t="s">
        <v>117</v>
      </c>
      <c r="B14" s="3" t="s">
        <v>45</v>
      </c>
      <c r="C14" s="3" t="s">
        <v>118</v>
      </c>
      <c r="D14" s="3" t="s">
        <v>111</v>
      </c>
      <c r="E14" s="3" t="s">
        <v>112</v>
      </c>
      <c r="F14" s="3" t="s">
        <v>112</v>
      </c>
      <c r="G14" s="3" t="s">
        <v>119</v>
      </c>
    </row>
    <row r="15" customFormat="false" ht="31.5" hidden="false" customHeight="true" outlineLevel="0" collapsed="false">
      <c r="A15" s="5" t="s">
        <v>120</v>
      </c>
      <c r="B15" s="5" t="s">
        <v>45</v>
      </c>
      <c r="C15" s="5" t="s">
        <v>121</v>
      </c>
      <c r="D15" s="5" t="s">
        <v>111</v>
      </c>
      <c r="E15" s="5" t="s">
        <v>112</v>
      </c>
      <c r="F15" s="5" t="s">
        <v>112</v>
      </c>
      <c r="G15" s="5" t="s">
        <v>122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1" activeCellId="0" sqref="A1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35.06"/>
  </cols>
  <sheetData>
    <row r="1" customFormat="false" ht="15" hidden="false" customHeight="false" outlineLevel="0" collapsed="false">
      <c r="A1" s="2" t="s">
        <v>123</v>
      </c>
    </row>
    <row r="2" customFormat="false" ht="31.5" hidden="false" customHeight="true" outlineLevel="0" collapsed="false">
      <c r="A2" s="3" t="s">
        <v>124</v>
      </c>
    </row>
    <row r="3" customFormat="false" ht="31.5" hidden="false" customHeight="true" outlineLevel="0" collapsed="false">
      <c r="A3" s="5" t="s">
        <v>125</v>
      </c>
    </row>
    <row r="4" customFormat="false" ht="31.5" hidden="false" customHeight="true" outlineLevel="0" collapsed="false">
      <c r="A4" s="3" t="s">
        <v>126</v>
      </c>
    </row>
    <row r="5" customFormat="false" ht="31.5" hidden="false" customHeight="true" outlineLevel="0" collapsed="false">
      <c r="A5" s="5" t="s">
        <v>127</v>
      </c>
    </row>
    <row r="6" customFormat="false" ht="31.5" hidden="false" customHeight="true" outlineLevel="0" collapsed="false">
      <c r="A6" s="3" t="s">
        <v>128</v>
      </c>
    </row>
    <row r="7" customFormat="false" ht="31.5" hidden="false" customHeight="true" outlineLevel="0" collapsed="false">
      <c r="A7" s="5" t="s">
        <v>129</v>
      </c>
    </row>
    <row r="8" customFormat="false" ht="31.5" hidden="false" customHeight="true" outlineLevel="0" collapsed="false">
      <c r="A8" s="3" t="s">
        <v>130</v>
      </c>
    </row>
    <row r="9" customFormat="false" ht="31.5" hidden="false" customHeight="true" outlineLevel="0" collapsed="false">
      <c r="A9" s="5" t="s">
        <v>131</v>
      </c>
    </row>
    <row r="10" customFormat="false" ht="31.5" hidden="false" customHeight="true" outlineLevel="0" collapsed="false">
      <c r="A10" s="3" t="s">
        <v>132</v>
      </c>
    </row>
    <row r="11" customFormat="false" ht="31.5" hidden="false" customHeight="true" outlineLevel="0" collapsed="false">
      <c r="A11" s="5" t="s">
        <v>133</v>
      </c>
    </row>
    <row r="12" customFormat="false" ht="31.5" hidden="false" customHeight="true" outlineLevel="0" collapsed="false">
      <c r="A12" s="3" t="s">
        <v>134</v>
      </c>
    </row>
    <row r="13" customFormat="false" ht="31.5" hidden="false" customHeight="true" outlineLevel="0" collapsed="false">
      <c r="A13" s="5" t="s">
        <v>135</v>
      </c>
    </row>
    <row r="14" customFormat="false" ht="31.5" hidden="false" customHeight="true" outlineLevel="0" collapsed="false">
      <c r="A14" s="3" t="s">
        <v>136</v>
      </c>
    </row>
    <row r="15" customFormat="false" ht="31.5" hidden="false" customHeight="true" outlineLevel="0" collapsed="false">
      <c r="A15" s="5" t="s">
        <v>137</v>
      </c>
    </row>
  </sheetData>
  <autoFilter ref="A1:A1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2026-10-25T22:01:39Z</dcterms:created>
  <dc:creator>openpyxl</dc:creator>
  <dc:description/>
  <dc:language>en-US</dc:language>
  <cp:lastModifiedBy/>
  <dcterms:modified xsi:type="dcterms:W3CDTF">2026-10-26T09:04:56Z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