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VLSM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Reservas" sheetId="3" state="visible" r:id="rId3"/>
    <sheet xmlns:r="http://schemas.openxmlformats.org/officeDocument/2006/relationships" name="Como estudiar" sheetId="4" state="visible" r:id="rId4"/>
  </sheets>
  <definedNames>
    <definedName name="_xlnm._FilterDatabase" localSheetId="0" hidden="1">'VLSM'!$A$1:$U$10</definedName>
    <definedName name="_xlnm._FilterDatabase" localSheetId="1" hidden="1">'Parametros'!$A$1:$B$9</definedName>
    <definedName name="_xlnm._FilterDatabase" localSheetId="2" hidden="1">'Reservas'!$A$1:$G$15</definedName>
    <definedName name="_xlnm._FilterDatabase" localSheetId="3" hidden="1">'Como estudiar'!$A$1:$A$15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1565C0"/>
      <sz val="11"/>
    </font>
    <font>
      <name val="Cambria"/>
      <charset val="1"/>
      <family val="0"/>
      <color rgb="FF15384A"/>
      <sz val="11"/>
    </font>
  </fonts>
  <fills count="4">
    <fill>
      <patternFill/>
    </fill>
    <fill>
      <patternFill patternType="gray125"/>
    </fill>
    <fill>
      <patternFill patternType="solid">
        <fgColor rgb="FF163653"/>
        <bgColor rgb="FF15384A"/>
      </patternFill>
    </fill>
    <fill>
      <patternFill patternType="solid">
        <fgColor rgb="FFEDF4F8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63653"/>
          <bgColor rgb="FF000000"/>
        </patternFill>
      </fill>
    </dxf>
    <dxf>
      <fill>
        <patternFill patternType="solid">
          <fgColor rgb="FFEDF4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384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4F8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653"/>
      <rgbColor rgb="FF339966"/>
      <rgbColor rgb="FF003300"/>
      <rgbColor rgb="FF333300"/>
      <rgbColor rgb="FF993300"/>
      <rgbColor rgb="FF993366"/>
      <rgbColor rgb="FF333399"/>
      <rgbColor rgb="FF1538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U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G2" activeCellId="0" sqref="G2"/>
    </sheetView>
  </sheetViews>
  <sheetFormatPr baseColWidth="8" defaultColWidth="8.59765625" defaultRowHeight="15" zeroHeight="0" outlineLevelRow="0"/>
  <cols>
    <col width="16" customWidth="1" style="7" min="1" max="1"/>
    <col width="23" customWidth="1" style="7" min="2" max="2"/>
    <col width="16" customWidth="1" style="7" min="3" max="3"/>
    <col width="22" customWidth="1" style="7" min="4" max="6"/>
    <col width="19.98" customWidth="1" style="7" min="7" max="7"/>
    <col width="31.98" customWidth="1" style="7" min="8" max="8"/>
    <col width="22" customWidth="1" style="7" min="9" max="14"/>
    <col width="29" customWidth="1" style="7" min="15" max="15"/>
    <col width="20" customWidth="1" style="7" min="16" max="16"/>
    <col width="34" customWidth="1" style="7" min="17" max="17"/>
    <col width="16" customWidth="1" style="7" min="18" max="18"/>
    <col width="24" customWidth="1" style="7" min="19" max="19"/>
    <col width="22" customWidth="1" style="7" min="20" max="21"/>
  </cols>
  <sheetData>
    <row r="1" ht="15" customHeight="1" s="8">
      <c r="A1" s="9" t="inlineStr">
        <is>
          <t>Red</t>
        </is>
      </c>
      <c r="B1" s="9" t="inlineStr">
        <is>
          <t>Área</t>
        </is>
      </c>
      <c r="C1" s="9" t="inlineStr">
        <is>
          <t>Hosts mínimos</t>
        </is>
      </c>
      <c r="D1" s="9" t="inlineStr">
        <is>
          <t>Bits host</t>
        </is>
      </c>
      <c r="E1" s="9" t="inlineStr">
        <is>
          <t>Prefijo</t>
        </is>
      </c>
      <c r="F1" s="9" t="inlineStr">
        <is>
          <t>2^n</t>
        </is>
      </c>
      <c r="G1" s="9" t="inlineStr">
        <is>
          <t>2^n - 2</t>
        </is>
      </c>
      <c r="H1" s="9" t="inlineStr">
        <is>
          <t>Máscara binaria octeto 4</t>
        </is>
      </c>
      <c r="I1" s="9" t="inlineStr">
        <is>
          <t>Máscara decimal</t>
        </is>
      </c>
      <c r="J1" s="9" t="inlineStr">
        <is>
          <t>Red entera</t>
        </is>
      </c>
      <c r="K1" s="9" t="inlineStr">
        <is>
          <t>Dirección red</t>
        </is>
      </c>
      <c r="L1" s="9" t="inlineStr">
        <is>
          <t>Primer host</t>
        </is>
      </c>
      <c r="M1" s="9" t="inlineStr">
        <is>
          <t>Último host</t>
        </is>
      </c>
      <c r="N1" s="9" t="inlineStr">
        <is>
          <t>Broadcast</t>
        </is>
      </c>
      <c r="O1" s="9" t="inlineStr">
        <is>
          <t>Gateway</t>
        </is>
      </c>
      <c r="P1" s="9" t="inlineStr">
        <is>
          <t>VLAN</t>
        </is>
      </c>
      <c r="Q1" s="9" t="inlineStr">
        <is>
          <t>Asignación física</t>
        </is>
      </c>
      <c r="R1" s="9" t="inlineStr">
        <is>
          <t>Reservas</t>
        </is>
      </c>
      <c r="S1" s="9" t="inlineStr">
        <is>
          <t>Libres para terminales</t>
        </is>
      </c>
      <c r="T1" s="9" t="inlineStr">
        <is>
          <t>Alineación</t>
        </is>
      </c>
      <c r="U1" s="9" t="inlineStr">
        <is>
          <t>Capacidad</t>
        </is>
      </c>
    </row>
    <row r="2" ht="45" customHeight="1" s="8">
      <c r="A2" s="10" t="inlineStr">
        <is>
          <t>R2</t>
        </is>
      </c>
      <c r="B2" s="10" t="inlineStr">
        <is>
          <t>Hospitalización</t>
        </is>
      </c>
      <c r="C2" s="10" t="n">
        <v>200</v>
      </c>
      <c r="D2" s="11">
        <f>ROUNDUP(LOG(C2+2,2),0)</f>
        <v/>
      </c>
      <c r="E2" s="11">
        <f>32-D2</f>
        <v/>
      </c>
      <c r="F2" s="11">
        <f>2^D2</f>
        <v/>
      </c>
      <c r="G2" s="11">
        <f>F2-2</f>
        <v/>
      </c>
      <c r="H2" s="11">
        <f>IF(E2&gt;=24,DEC2BIN(256-2^(32-E2),8),"No aplica: prefijo menor a /24")</f>
        <v/>
      </c>
      <c r="I2" s="11">
        <f>(256-2^MAX(0,MIN(8,8-E2)))&amp;"."&amp;(256-2^MAX(0,MIN(8,16-E2)))&amp;"."&amp;(256-2^MAX(0,MIN(8,24-E2)))&amp;"."&amp;(256-2^MAX(0,MIN(8,32-E2)))</f>
        <v/>
      </c>
      <c r="J2" s="11">
        <f>Parametros!B4</f>
        <v/>
      </c>
      <c r="K2" s="11">
        <f>INT((J2)/16777216)&amp;"."&amp;MOD(INT((J2)/65536),256)&amp;"."&amp;MOD(INT((J2)/256),256)&amp;"."&amp;MOD((J2),256)</f>
        <v/>
      </c>
      <c r="L2" s="11">
        <f>INT((J2+1)/16777216)&amp;"."&amp;MOD(INT((J2+1)/65536),256)&amp;"."&amp;MOD(INT((J2+1)/256),256)&amp;"."&amp;MOD((J2+1),256)</f>
        <v/>
      </c>
      <c r="M2" s="11">
        <f>INT((J2+F2-2)/16777216)&amp;"."&amp;MOD(INT((J2+F2-2)/65536),256)&amp;"."&amp;MOD(INT((J2+F2-2)/256),256)&amp;"."&amp;MOD((J2+F2-2),256)</f>
        <v/>
      </c>
      <c r="N2" s="11">
        <f>INT((J2+F2-1)/16777216)&amp;"."&amp;MOD(INT((J2+F2-1)/65536),256)&amp;"."&amp;MOD(INT((J2+F2-1)/256),256)&amp;"."&amp;MOD((J2+F2-1),256)</f>
        <v/>
      </c>
      <c r="O2" s="11">
        <f>L2</f>
        <v/>
      </c>
      <c r="P2" s="10" t="n">
        <v>220</v>
      </c>
      <c r="Q2" s="10" t="inlineStr">
        <is>
          <t>Router0 Gi0/0.220; Switch0</t>
        </is>
      </c>
      <c r="R2" s="10" t="n">
        <v>1</v>
      </c>
      <c r="S2" s="11">
        <f>G2-R2</f>
        <v/>
      </c>
      <c r="T2" s="11">
        <f>IF(MOD(J2,F2)=0,"OK","REVISAR")</f>
        <v/>
      </c>
      <c r="U2" s="11">
        <f>IF(G2&gt;=C2,"OK","INSUFICIENTE")</f>
        <v/>
      </c>
    </row>
    <row r="3" ht="45" customHeight="1" s="8">
      <c r="A3" s="12" t="inlineStr">
        <is>
          <t>R6</t>
        </is>
      </c>
      <c r="B3" s="12" t="inlineStr">
        <is>
          <t>Consulta externa</t>
        </is>
      </c>
      <c r="C3" s="12" t="n">
        <v>160</v>
      </c>
      <c r="D3" s="13">
        <f>ROUNDUP(LOG(C3+2,2),0)</f>
        <v/>
      </c>
      <c r="E3" s="13">
        <f>32-D3</f>
        <v/>
      </c>
      <c r="F3" s="13">
        <f>2^D3</f>
        <v/>
      </c>
      <c r="G3" s="13">
        <f>F3-2</f>
        <v/>
      </c>
      <c r="H3" s="13">
        <f>IF(E3&gt;=24,DEC2BIN(256-2^(32-E3),8),"No aplica: prefijo menor a /24")</f>
        <v/>
      </c>
      <c r="I3" s="13">
        <f>(256-2^MAX(0,MIN(8,8-E3)))&amp;"."&amp;(256-2^MAX(0,MIN(8,16-E3)))&amp;"."&amp;(256-2^MAX(0,MIN(8,24-E3)))&amp;"."&amp;(256-2^MAX(0,MIN(8,32-E3)))</f>
        <v/>
      </c>
      <c r="J3" s="13">
        <f>J2+F2</f>
        <v/>
      </c>
      <c r="K3" s="13">
        <f>INT((J3)/16777216)&amp;"."&amp;MOD(INT((J3)/65536),256)&amp;"."&amp;MOD(INT((J3)/256),256)&amp;"."&amp;MOD((J3),256)</f>
        <v/>
      </c>
      <c r="L3" s="13">
        <f>INT((J3+1)/16777216)&amp;"."&amp;MOD(INT((J3+1)/65536),256)&amp;"."&amp;MOD(INT((J3+1)/256),256)&amp;"."&amp;MOD((J3+1),256)</f>
        <v/>
      </c>
      <c r="M3" s="13">
        <f>INT((J3+F3-2)/16777216)&amp;"."&amp;MOD(INT((J3+F3-2)/65536),256)&amp;"."&amp;MOD(INT((J3+F3-2)/256),256)&amp;"."&amp;MOD((J3+F3-2),256)</f>
        <v/>
      </c>
      <c r="N3" s="13">
        <f>INT((J3+F3-1)/16777216)&amp;"."&amp;MOD(INT((J3+F3-1)/65536),256)&amp;"."&amp;MOD(INT((J3+F3-1)/256),256)&amp;"."&amp;MOD((J3+F3-1),256)</f>
        <v/>
      </c>
      <c r="O3" s="13">
        <f>L3</f>
        <v/>
      </c>
      <c r="P3" s="12" t="n">
        <v>250</v>
      </c>
      <c r="Q3" s="12" t="inlineStr">
        <is>
          <t>Router2 Gi0/0.250; Switch2</t>
        </is>
      </c>
      <c r="R3" s="12" t="n">
        <v>1</v>
      </c>
      <c r="S3" s="13">
        <f>G3-R3</f>
        <v/>
      </c>
      <c r="T3" s="13">
        <f>IF(MOD(J3,F3)=0,"OK","REVISAR")</f>
        <v/>
      </c>
      <c r="U3" s="13">
        <f>IF(G3&gt;=C3,"OK","INSUFICIENTE")</f>
        <v/>
      </c>
    </row>
    <row r="4" ht="45" customHeight="1" s="8">
      <c r="A4" s="10" t="inlineStr">
        <is>
          <t>R1</t>
        </is>
      </c>
      <c r="B4" s="10" t="inlineStr">
        <is>
          <t>Urgencias</t>
        </is>
      </c>
      <c r="C4" s="10" t="n">
        <v>120</v>
      </c>
      <c r="D4" s="11">
        <f>ROUNDUP(LOG(C4+2,2),0)</f>
        <v/>
      </c>
      <c r="E4" s="11">
        <f>32-D4</f>
        <v/>
      </c>
      <c r="F4" s="11">
        <f>2^D4</f>
        <v/>
      </c>
      <c r="G4" s="11">
        <f>F4-2</f>
        <v/>
      </c>
      <c r="H4" s="11">
        <f>IF(E4&gt;=24,DEC2BIN(256-2^(32-E4),8),"No aplica: prefijo menor a /24")</f>
        <v/>
      </c>
      <c r="I4" s="11">
        <f>(256-2^MAX(0,MIN(8,8-E4)))&amp;"."&amp;(256-2^MAX(0,MIN(8,16-E4)))&amp;"."&amp;(256-2^MAX(0,MIN(8,24-E4)))&amp;"."&amp;(256-2^MAX(0,MIN(8,32-E4)))</f>
        <v/>
      </c>
      <c r="J4" s="11">
        <f>J3+F3</f>
        <v/>
      </c>
      <c r="K4" s="11">
        <f>INT((J4)/16777216)&amp;"."&amp;MOD(INT((J4)/65536),256)&amp;"."&amp;MOD(INT((J4)/256),256)&amp;"."&amp;MOD((J4),256)</f>
        <v/>
      </c>
      <c r="L4" s="11">
        <f>INT((J4+1)/16777216)&amp;"."&amp;MOD(INT((J4+1)/65536),256)&amp;"."&amp;MOD(INT((J4+1)/256),256)&amp;"."&amp;MOD((J4+1),256)</f>
        <v/>
      </c>
      <c r="M4" s="11">
        <f>INT((J4+F4-2)/16777216)&amp;"."&amp;MOD(INT((J4+F4-2)/65536),256)&amp;"."&amp;MOD(INT((J4+F4-2)/256),256)&amp;"."&amp;MOD((J4+F4-2),256)</f>
        <v/>
      </c>
      <c r="N4" s="11">
        <f>INT((J4+F4-1)/16777216)&amp;"."&amp;MOD(INT((J4+F4-1)/65536),256)&amp;"."&amp;MOD(INT((J4+F4-1)/256),256)&amp;"."&amp;MOD((J4+F4-1),256)</f>
        <v/>
      </c>
      <c r="O4" s="11">
        <f>L4</f>
        <v/>
      </c>
      <c r="P4" s="10" t="n">
        <v>210</v>
      </c>
      <c r="Q4" s="10" t="inlineStr">
        <is>
          <t>Router0 Gi0/0.210; Switch0</t>
        </is>
      </c>
      <c r="R4" s="10" t="n">
        <v>1</v>
      </c>
      <c r="S4" s="11">
        <f>G4-R4</f>
        <v/>
      </c>
      <c r="T4" s="11">
        <f>IF(MOD(J4,F4)=0,"OK","REVISAR")</f>
        <v/>
      </c>
      <c r="U4" s="11">
        <f>IF(G4&gt;=C4,"OK","INSUFICIENTE")</f>
        <v/>
      </c>
    </row>
    <row r="5" ht="45" customHeight="1" s="8">
      <c r="A5" s="12" t="inlineStr">
        <is>
          <t>R7</t>
        </is>
      </c>
      <c r="B5" s="12" t="inlineStr">
        <is>
          <t>Imágenes diagnósticas</t>
        </is>
      </c>
      <c r="C5" s="12" t="n">
        <v>70</v>
      </c>
      <c r="D5" s="13">
        <f>ROUNDUP(LOG(C5+2,2),0)</f>
        <v/>
      </c>
      <c r="E5" s="13">
        <f>32-D5</f>
        <v/>
      </c>
      <c r="F5" s="13">
        <f>2^D5</f>
        <v/>
      </c>
      <c r="G5" s="13">
        <f>F5-2</f>
        <v/>
      </c>
      <c r="H5" s="13">
        <f>IF(E5&gt;=24,DEC2BIN(256-2^(32-E5),8),"No aplica: prefijo menor a /24")</f>
        <v/>
      </c>
      <c r="I5" s="13">
        <f>(256-2^MAX(0,MIN(8,8-E5)))&amp;"."&amp;(256-2^MAX(0,MIN(8,16-E5)))&amp;"."&amp;(256-2^MAX(0,MIN(8,24-E5)))&amp;"."&amp;(256-2^MAX(0,MIN(8,32-E5)))</f>
        <v/>
      </c>
      <c r="J5" s="13">
        <f>J4+F4</f>
        <v/>
      </c>
      <c r="K5" s="13">
        <f>INT((J5)/16777216)&amp;"."&amp;MOD(INT((J5)/65536),256)&amp;"."&amp;MOD(INT((J5)/256),256)&amp;"."&amp;MOD((J5),256)</f>
        <v/>
      </c>
      <c r="L5" s="13">
        <f>INT((J5+1)/16777216)&amp;"."&amp;MOD(INT((J5+1)/65536),256)&amp;"."&amp;MOD(INT((J5+1)/256),256)&amp;"."&amp;MOD((J5+1),256)</f>
        <v/>
      </c>
      <c r="M5" s="13">
        <f>INT((J5+F5-2)/16777216)&amp;"."&amp;MOD(INT((J5+F5-2)/65536),256)&amp;"."&amp;MOD(INT((J5+F5-2)/256),256)&amp;"."&amp;MOD((J5+F5-2),256)</f>
        <v/>
      </c>
      <c r="N5" s="13">
        <f>INT((J5+F5-1)/16777216)&amp;"."&amp;MOD(INT((J5+F5-1)/65536),256)&amp;"."&amp;MOD(INT((J5+F5-1)/256),256)&amp;"."&amp;MOD((J5+F5-1),256)</f>
        <v/>
      </c>
      <c r="O5" s="13">
        <f>L5</f>
        <v/>
      </c>
      <c r="P5" s="12" t="n">
        <v>260</v>
      </c>
      <c r="Q5" s="12" t="inlineStr">
        <is>
          <t>Router2 Gi0/0.260; Switch2</t>
        </is>
      </c>
      <c r="R5" s="12" t="n">
        <v>1</v>
      </c>
      <c r="S5" s="13">
        <f>G5-R5</f>
        <v/>
      </c>
      <c r="T5" s="13">
        <f>IF(MOD(J5,F5)=0,"OK","REVISAR")</f>
        <v/>
      </c>
      <c r="U5" s="13">
        <f>IF(G5&gt;=C5,"OK","INSUFICIENTE")</f>
        <v/>
      </c>
    </row>
    <row r="6" ht="45" customHeight="1" s="8">
      <c r="A6" s="10" t="inlineStr">
        <is>
          <t>R3</t>
        </is>
      </c>
      <c r="B6" s="10" t="inlineStr">
        <is>
          <t>Laboratorio clínico</t>
        </is>
      </c>
      <c r="C6" s="10" t="n">
        <v>55</v>
      </c>
      <c r="D6" s="11">
        <f>ROUNDUP(LOG(C6+2,2),0)</f>
        <v/>
      </c>
      <c r="E6" s="11">
        <f>32-D6</f>
        <v/>
      </c>
      <c r="F6" s="11">
        <f>2^D6</f>
        <v/>
      </c>
      <c r="G6" s="11">
        <f>F6-2</f>
        <v/>
      </c>
      <c r="H6" s="11">
        <f>IF(E6&gt;=24,DEC2BIN(256-2^(32-E6),8),"No aplica: prefijo menor a /24")</f>
        <v/>
      </c>
      <c r="I6" s="11">
        <f>(256-2^MAX(0,MIN(8,8-E6)))&amp;"."&amp;(256-2^MAX(0,MIN(8,16-E6)))&amp;"."&amp;(256-2^MAX(0,MIN(8,24-E6)))&amp;"."&amp;(256-2^MAX(0,MIN(8,32-E6)))</f>
        <v/>
      </c>
      <c r="J6" s="11">
        <f>J5+F5</f>
        <v/>
      </c>
      <c r="K6" s="11">
        <f>INT((J6)/16777216)&amp;"."&amp;MOD(INT((J6)/65536),256)&amp;"."&amp;MOD(INT((J6)/256),256)&amp;"."&amp;MOD((J6),256)</f>
        <v/>
      </c>
      <c r="L6" s="11">
        <f>INT((J6+1)/16777216)&amp;"."&amp;MOD(INT((J6+1)/65536),256)&amp;"."&amp;MOD(INT((J6+1)/256),256)&amp;"."&amp;MOD((J6+1),256)</f>
        <v/>
      </c>
      <c r="M6" s="11">
        <f>INT((J6+F6-2)/16777216)&amp;"."&amp;MOD(INT((J6+F6-2)/65536),256)&amp;"."&amp;MOD(INT((J6+F6-2)/256),256)&amp;"."&amp;MOD((J6+F6-2),256)</f>
        <v/>
      </c>
      <c r="N6" s="11">
        <f>INT((J6+F6-1)/16777216)&amp;"."&amp;MOD(INT((J6+F6-1)/65536),256)&amp;"."&amp;MOD(INT((J6+F6-1)/256),256)&amp;"."&amp;MOD((J6+F6-1),256)</f>
        <v/>
      </c>
      <c r="O6" s="11">
        <f>L6</f>
        <v/>
      </c>
      <c r="P6" s="10" t="n">
        <v>230</v>
      </c>
      <c r="Q6" s="10" t="inlineStr">
        <is>
          <t>Router1 Gi0/0.230; Switch1</t>
        </is>
      </c>
      <c r="R6" s="10" t="n">
        <v>1</v>
      </c>
      <c r="S6" s="11">
        <f>G6-R6</f>
        <v/>
      </c>
      <c r="T6" s="11">
        <f>IF(MOD(J6,F6)=0,"OK","REVISAR")</f>
        <v/>
      </c>
      <c r="U6" s="11">
        <f>IF(G6&gt;=C6,"OK","INSUFICIENTE")</f>
        <v/>
      </c>
    </row>
    <row r="7" ht="45" customHeight="1" s="8">
      <c r="A7" s="12" t="inlineStr">
        <is>
          <t>R8</t>
        </is>
      </c>
      <c r="B7" s="12" t="inlineStr">
        <is>
          <t>Administración</t>
        </is>
      </c>
      <c r="C7" s="12" t="n">
        <v>40</v>
      </c>
      <c r="D7" s="13">
        <f>ROUNDUP(LOG(C7+2,2),0)</f>
        <v/>
      </c>
      <c r="E7" s="13">
        <f>32-D7</f>
        <v/>
      </c>
      <c r="F7" s="13">
        <f>2^D7</f>
        <v/>
      </c>
      <c r="G7" s="13">
        <f>F7-2</f>
        <v/>
      </c>
      <c r="H7" s="13">
        <f>IF(E7&gt;=24,DEC2BIN(256-2^(32-E7),8),"No aplica: prefijo menor a /24")</f>
        <v/>
      </c>
      <c r="I7" s="13">
        <f>(256-2^MAX(0,MIN(8,8-E7)))&amp;"."&amp;(256-2^MAX(0,MIN(8,16-E7)))&amp;"."&amp;(256-2^MAX(0,MIN(8,24-E7)))&amp;"."&amp;(256-2^MAX(0,MIN(8,32-E7)))</f>
        <v/>
      </c>
      <c r="J7" s="13">
        <f>J6+F6</f>
        <v/>
      </c>
      <c r="K7" s="13">
        <f>INT((J7)/16777216)&amp;"."&amp;MOD(INT((J7)/65536),256)&amp;"."&amp;MOD(INT((J7)/256),256)&amp;"."&amp;MOD((J7),256)</f>
        <v/>
      </c>
      <c r="L7" s="13">
        <f>INT((J7+1)/16777216)&amp;"."&amp;MOD(INT((J7+1)/65536),256)&amp;"."&amp;MOD(INT((J7+1)/256),256)&amp;"."&amp;MOD((J7+1),256)</f>
        <v/>
      </c>
      <c r="M7" s="13">
        <f>INT((J7+F7-2)/16777216)&amp;"."&amp;MOD(INT((J7+F7-2)/65536),256)&amp;"."&amp;MOD(INT((J7+F7-2)/256),256)&amp;"."&amp;MOD((J7+F7-2),256)</f>
        <v/>
      </c>
      <c r="N7" s="13">
        <f>INT((J7+F7-1)/16777216)&amp;"."&amp;MOD(INT((J7+F7-1)/65536),256)&amp;"."&amp;MOD(INT((J7+F7-1)/256),256)&amp;"."&amp;MOD((J7+F7-1),256)</f>
        <v/>
      </c>
      <c r="O7" s="13">
        <f>L7</f>
        <v/>
      </c>
      <c r="P7" s="12" t="n">
        <v>270</v>
      </c>
      <c r="Q7" s="12" t="inlineStr">
        <is>
          <t>Router3 Gi0/0.270; Switch3</t>
        </is>
      </c>
      <c r="R7" s="12" t="n">
        <v>2</v>
      </c>
      <c r="S7" s="13">
        <f>G7-R7</f>
        <v/>
      </c>
      <c r="T7" s="13">
        <f>IF(MOD(J7,F7)=0,"OK","REVISAR")</f>
        <v/>
      </c>
      <c r="U7" s="13">
        <f>IF(G7&gt;=C7,"OK","INSUFICIENTE")</f>
        <v/>
      </c>
    </row>
    <row r="8" ht="45" customHeight="1" s="8">
      <c r="A8" s="10" t="inlineStr">
        <is>
          <t>R4</t>
        </is>
      </c>
      <c r="B8" s="10" t="inlineStr">
        <is>
          <t>Farmacia</t>
        </is>
      </c>
      <c r="C8" s="10" t="n">
        <v>30</v>
      </c>
      <c r="D8" s="11">
        <f>ROUNDUP(LOG(C8+2,2),0)</f>
        <v/>
      </c>
      <c r="E8" s="11">
        <f>32-D8</f>
        <v/>
      </c>
      <c r="F8" s="11">
        <f>2^D8</f>
        <v/>
      </c>
      <c r="G8" s="11">
        <f>F8-2</f>
        <v/>
      </c>
      <c r="H8" s="11">
        <f>IF(E8&gt;=24,DEC2BIN(256-2^(32-E8),8),"No aplica: prefijo menor a /24")</f>
        <v/>
      </c>
      <c r="I8" s="11">
        <f>(256-2^MAX(0,MIN(8,8-E8)))&amp;"."&amp;(256-2^MAX(0,MIN(8,16-E8)))&amp;"."&amp;(256-2^MAX(0,MIN(8,24-E8)))&amp;"."&amp;(256-2^MAX(0,MIN(8,32-E8)))</f>
        <v/>
      </c>
      <c r="J8" s="11">
        <f>J7+F7</f>
        <v/>
      </c>
      <c r="K8" s="11">
        <f>INT((J8)/16777216)&amp;"."&amp;MOD(INT((J8)/65536),256)&amp;"."&amp;MOD(INT((J8)/256),256)&amp;"."&amp;MOD((J8),256)</f>
        <v/>
      </c>
      <c r="L8" s="11">
        <f>INT((J8+1)/16777216)&amp;"."&amp;MOD(INT((J8+1)/65536),256)&amp;"."&amp;MOD(INT((J8+1)/256),256)&amp;"."&amp;MOD((J8+1),256)</f>
        <v/>
      </c>
      <c r="M8" s="11">
        <f>INT((J8+F8-2)/16777216)&amp;"."&amp;MOD(INT((J8+F8-2)/65536),256)&amp;"."&amp;MOD(INT((J8+F8-2)/256),256)&amp;"."&amp;MOD((J8+F8-2),256)</f>
        <v/>
      </c>
      <c r="N8" s="11">
        <f>INT((J8+F8-1)/16777216)&amp;"."&amp;MOD(INT((J8+F8-1)/65536),256)&amp;"."&amp;MOD(INT((J8+F8-1)/256),256)&amp;"."&amp;MOD((J8+F8-1),256)</f>
        <v/>
      </c>
      <c r="O8" s="11">
        <f>L8</f>
        <v/>
      </c>
      <c r="P8" s="10" t="n">
        <v>240</v>
      </c>
      <c r="Q8" s="10" t="inlineStr">
        <is>
          <t>Router1 Gi0/0.240; Switch1</t>
        </is>
      </c>
      <c r="R8" s="10" t="n">
        <v>2</v>
      </c>
      <c r="S8" s="11">
        <f>G8-R8</f>
        <v/>
      </c>
      <c r="T8" s="11">
        <f>IF(MOD(J8,F8)=0,"OK","REVISAR")</f>
        <v/>
      </c>
      <c r="U8" s="11">
        <f>IF(G8&gt;=C8,"OK","INSUFICIENTE")</f>
        <v/>
      </c>
    </row>
    <row r="9" ht="45" customHeight="1" s="8">
      <c r="A9" s="12" t="inlineStr">
        <is>
          <t>R9</t>
        </is>
      </c>
      <c r="B9" s="12" t="inlineStr">
        <is>
          <t>Ingeniería biomédica</t>
        </is>
      </c>
      <c r="C9" s="12" t="n">
        <v>25</v>
      </c>
      <c r="D9" s="13">
        <f>ROUNDUP(LOG(C9+2,2),0)</f>
        <v/>
      </c>
      <c r="E9" s="13">
        <f>32-D9</f>
        <v/>
      </c>
      <c r="F9" s="13">
        <f>2^D9</f>
        <v/>
      </c>
      <c r="G9" s="13">
        <f>F9-2</f>
        <v/>
      </c>
      <c r="H9" s="13">
        <f>IF(E9&gt;=24,DEC2BIN(256-2^(32-E9),8),"No aplica: prefijo menor a /24")</f>
        <v/>
      </c>
      <c r="I9" s="13">
        <f>(256-2^MAX(0,MIN(8,8-E9)))&amp;"."&amp;(256-2^MAX(0,MIN(8,16-E9)))&amp;"."&amp;(256-2^MAX(0,MIN(8,24-E9)))&amp;"."&amp;(256-2^MAX(0,MIN(8,32-E9)))</f>
        <v/>
      </c>
      <c r="J9" s="13">
        <f>J8+F8</f>
        <v/>
      </c>
      <c r="K9" s="13">
        <f>INT((J9)/16777216)&amp;"."&amp;MOD(INT((J9)/65536),256)&amp;"."&amp;MOD(INT((J9)/256),256)&amp;"."&amp;MOD((J9),256)</f>
        <v/>
      </c>
      <c r="L9" s="13">
        <f>INT((J9+1)/16777216)&amp;"."&amp;MOD(INT((J9+1)/65536),256)&amp;"."&amp;MOD(INT((J9+1)/256),256)&amp;"."&amp;MOD((J9+1),256)</f>
        <v/>
      </c>
      <c r="M9" s="13">
        <f>INT((J9+F9-2)/16777216)&amp;"."&amp;MOD(INT((J9+F9-2)/65536),256)&amp;"."&amp;MOD(INT((J9+F9-2)/256),256)&amp;"."&amp;MOD((J9+F9-2),256)</f>
        <v/>
      </c>
      <c r="N9" s="13">
        <f>INT((J9+F9-1)/16777216)&amp;"."&amp;MOD(INT((J9+F9-1)/65536),256)&amp;"."&amp;MOD(INT((J9+F9-1)/256),256)&amp;"."&amp;MOD((J9+F9-1),256)</f>
        <v/>
      </c>
      <c r="O9" s="13">
        <f>L9</f>
        <v/>
      </c>
      <c r="P9" s="12" t="n">
        <v>280</v>
      </c>
      <c r="Q9" s="12" t="inlineStr">
        <is>
          <t>Router3 Gi0/0.280; Switch3</t>
        </is>
      </c>
      <c r="R9" s="12" t="n">
        <v>1</v>
      </c>
      <c r="S9" s="13">
        <f>G9-R9</f>
        <v/>
      </c>
      <c r="T9" s="13">
        <f>IF(MOD(J9,F9)=0,"OK","REVISAR")</f>
        <v/>
      </c>
      <c r="U9" s="13">
        <f>IF(G9&gt;=C9,"OK","INSUFICIENTE")</f>
        <v/>
      </c>
    </row>
    <row r="10" ht="45" customHeight="1" s="8">
      <c r="A10" s="10" t="inlineStr">
        <is>
          <t>R5</t>
        </is>
      </c>
      <c r="B10" s="10" t="inlineStr">
        <is>
          <t>Tránsito</t>
        </is>
      </c>
      <c r="C10" s="10" t="n">
        <v>4</v>
      </c>
      <c r="D10" s="11">
        <f>ROUNDUP(LOG(C10+2,2),0)</f>
        <v/>
      </c>
      <c r="E10" s="11">
        <f>32-D10</f>
        <v/>
      </c>
      <c r="F10" s="11">
        <f>2^D10</f>
        <v/>
      </c>
      <c r="G10" s="11">
        <f>F10-2</f>
        <v/>
      </c>
      <c r="H10" s="11">
        <f>IF(E10&gt;=24,DEC2BIN(256-2^(32-E10),8),"No aplica: prefijo menor a /24")</f>
        <v/>
      </c>
      <c r="I10" s="11">
        <f>(256-2^MAX(0,MIN(8,8-E10)))&amp;"."&amp;(256-2^MAX(0,MIN(8,16-E10)))&amp;"."&amp;(256-2^MAX(0,MIN(8,24-E10)))&amp;"."&amp;(256-2^MAX(0,MIN(8,32-E10)))</f>
        <v/>
      </c>
      <c r="J10" s="11">
        <f>J9+F9</f>
        <v/>
      </c>
      <c r="K10" s="11">
        <f>INT((J10)/16777216)&amp;"."&amp;MOD(INT((J10)/65536),256)&amp;"."&amp;MOD(INT((J10)/256),256)&amp;"."&amp;MOD((J10),256)</f>
        <v/>
      </c>
      <c r="L10" s="11">
        <f>INT((J10+1)/16777216)&amp;"."&amp;MOD(INT((J10+1)/65536),256)&amp;"."&amp;MOD(INT((J10+1)/256),256)&amp;"."&amp;MOD((J10+1),256)</f>
        <v/>
      </c>
      <c r="M10" s="11">
        <f>INT((J10+F10-2)/16777216)&amp;"."&amp;MOD(INT((J10+F10-2)/65536),256)&amp;"."&amp;MOD(INT((J10+F10-2)/256),256)&amp;"."&amp;MOD((J10+F10-2),256)</f>
        <v/>
      </c>
      <c r="N10" s="11">
        <f>INT((J10+F10-1)/16777216)&amp;"."&amp;MOD(INT((J10+F10-1)/65536),256)&amp;"."&amp;MOD(INT((J10+F10-1)/256),256)&amp;"."&amp;MOD((J10+F10-1),256)</f>
        <v/>
      </c>
      <c r="O10" s="10" t="inlineStr">
        <is>
          <t>No aplica: 4 IP de tránsito</t>
        </is>
      </c>
      <c r="P10" s="10" t="inlineStr">
        <is>
          <t>Tránsito VLAN 1 L2</t>
        </is>
      </c>
      <c r="Q10" s="10" t="inlineStr">
        <is>
          <t>Switch4 Fa0/1-4; Router0-3 Gi0/1</t>
        </is>
      </c>
      <c r="R10" s="10" t="n">
        <v>4</v>
      </c>
      <c r="S10" s="11">
        <f>G10-R10</f>
        <v/>
      </c>
      <c r="T10" s="11">
        <f>IF(MOD(J10,F10)=0,"OK","REVISAR")</f>
        <v/>
      </c>
      <c r="U10" s="11">
        <f>IF(G10&gt;=C10,"OK","INSUFICIENTE")</f>
        <v/>
      </c>
    </row>
  </sheetData>
  <autoFilter ref="A1:U10"/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59765625" defaultRowHeight="15" zeroHeight="0" outlineLevelRow="0"/>
  <cols>
    <col width="24" customWidth="1" style="7" min="1" max="1"/>
    <col width="22" customWidth="1" style="7" min="2" max="2"/>
  </cols>
  <sheetData>
    <row r="1" ht="15" customHeight="1" s="8">
      <c r="A1" s="9" t="inlineStr">
        <is>
          <t>Parámetro</t>
        </is>
      </c>
      <c r="B1" s="9" t="inlineStr">
        <is>
          <t>Valor</t>
        </is>
      </c>
    </row>
    <row r="2" ht="31.5" customHeight="1" s="8">
      <c r="A2" s="10" t="inlineStr">
        <is>
          <t>Bloque privado</t>
        </is>
      </c>
      <c r="B2" s="10" t="inlineStr">
        <is>
          <t>172.16.0.0/12</t>
        </is>
      </c>
    </row>
    <row r="3" ht="31.5" customHeight="1" s="8">
      <c r="A3" s="12" t="inlineStr">
        <is>
          <t>Contenedor</t>
        </is>
      </c>
      <c r="B3" s="12" t="inlineStr">
        <is>
          <t>172.16.0.0/22</t>
        </is>
      </c>
    </row>
    <row r="4" ht="31.5" customHeight="1" s="8">
      <c r="A4" s="10" t="inlineStr">
        <is>
          <t>Base entera</t>
        </is>
      </c>
      <c r="B4" s="10" t="n">
        <v>2886729728</v>
      </c>
    </row>
    <row r="5" ht="31.5" customHeight="1" s="8">
      <c r="A5" s="12" t="inlineStr">
        <is>
          <t>Prefijo contenedor</t>
        </is>
      </c>
      <c r="B5" s="12" t="n">
        <v>22</v>
      </c>
    </row>
    <row r="6" ht="31.5" customHeight="1" s="8">
      <c r="A6" s="10" t="inlineStr">
        <is>
          <t>Direcciones contenedor</t>
        </is>
      </c>
      <c r="B6" s="11">
        <f>2^(32-B5)</f>
        <v/>
      </c>
    </row>
    <row r="7" ht="31.5" customHeight="1" s="8">
      <c r="A7" s="12" t="inlineStr">
        <is>
          <t>Asignadas</t>
        </is>
      </c>
      <c r="B7" s="13">
        <f>SUM(VLSM!F2:F10)</f>
        <v/>
      </c>
    </row>
    <row r="8" ht="31.5" customHeight="1" s="8">
      <c r="A8" s="10" t="inlineStr">
        <is>
          <t>Libres</t>
        </is>
      </c>
      <c r="B8" s="11">
        <f>B6-B7</f>
        <v/>
      </c>
    </row>
    <row r="9" ht="31.5" customHeight="1" s="8">
      <c r="A9" s="12" t="inlineStr">
        <is>
          <t>Prefijo mínimo</t>
        </is>
      </c>
      <c r="B9" s="13">
        <f>32-ROUNDUP(LOG(B7,2),0)</f>
        <v/>
      </c>
    </row>
  </sheetData>
  <autoFilter ref="A1:B9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59765625" defaultRowHeight="15" zeroHeight="0" outlineLevelRow="0"/>
  <cols>
    <col width="32" customWidth="1" style="7" min="1" max="3"/>
    <col width="17" customWidth="1" style="7" min="4" max="4"/>
    <col width="16" customWidth="1" style="7" min="5" max="7"/>
  </cols>
  <sheetData>
    <row r="1" ht="15" customHeight="1" s="8">
      <c r="A1" s="9" t="inlineStr">
        <is>
          <t>Dispositivo</t>
        </is>
      </c>
      <c r="B1" s="9" t="inlineStr">
        <is>
          <t>Red</t>
        </is>
      </c>
      <c r="C1" s="9" t="inlineStr">
        <is>
          <t>IP</t>
        </is>
      </c>
      <c r="D1" s="9" t="inlineStr">
        <is>
          <t>Máscara</t>
        </is>
      </c>
      <c r="E1" s="9" t="inlineStr">
        <is>
          <t>Gateway</t>
        </is>
      </c>
      <c r="F1" s="9" t="inlineStr">
        <is>
          <t>DNS</t>
        </is>
      </c>
      <c r="G1" s="9" t="inlineStr">
        <is>
          <t>Puerto</t>
        </is>
      </c>
    </row>
    <row r="2" ht="31.5" customHeight="1" s="8">
      <c r="A2" s="10" t="inlineStr">
        <is>
          <t>PC1 Windows (usado en el lab)</t>
        </is>
      </c>
      <c r="B2" s="10" t="inlineStr">
        <is>
          <t>R1</t>
        </is>
      </c>
      <c r="C2" s="10" t="inlineStr">
        <is>
          <t>172.16.2.10</t>
        </is>
      </c>
      <c r="D2" s="10" t="inlineStr">
        <is>
          <t>255.255.255.128</t>
        </is>
      </c>
      <c r="E2" s="10" t="inlineStr">
        <is>
          <t>172.16.2.1</t>
        </is>
      </c>
      <c r="F2" s="10" t="inlineStr">
        <is>
          <t>172.16.3.130</t>
        </is>
      </c>
      <c r="G2" s="10" t="inlineStr">
        <is>
          <t>Switch0 Fa0/1</t>
        </is>
      </c>
    </row>
    <row r="3" ht="31.5" customHeight="1" s="8">
      <c r="A3" s="12" t="inlineStr">
        <is>
          <t>PC Hospitalización (reserva)</t>
        </is>
      </c>
      <c r="B3" s="12" t="inlineStr">
        <is>
          <t>R2</t>
        </is>
      </c>
      <c r="C3" s="12" t="inlineStr">
        <is>
          <t>172.16.0.10</t>
        </is>
      </c>
      <c r="D3" s="12" t="inlineStr">
        <is>
          <t>255.255.255.0</t>
        </is>
      </c>
      <c r="E3" s="12" t="inlineStr">
        <is>
          <t>172.16.0.1</t>
        </is>
      </c>
      <c r="F3" s="12" t="inlineStr">
        <is>
          <t>172.16.3.130</t>
        </is>
      </c>
      <c r="G3" s="12" t="inlineStr">
        <is>
          <t>Switch0 Fa0/2</t>
        </is>
      </c>
    </row>
    <row r="4" ht="31.5" customHeight="1" s="8">
      <c r="A4" s="10" t="inlineStr">
        <is>
          <t>PC Laboratorio (reserva)</t>
        </is>
      </c>
      <c r="B4" s="10" t="inlineStr">
        <is>
          <t>R3</t>
        </is>
      </c>
      <c r="C4" s="10" t="inlineStr">
        <is>
          <t>172.16.3.10</t>
        </is>
      </c>
      <c r="D4" s="10" t="inlineStr">
        <is>
          <t>255.255.255.192</t>
        </is>
      </c>
      <c r="E4" s="10" t="inlineStr">
        <is>
          <t>172.16.3.1</t>
        </is>
      </c>
      <c r="F4" s="10" t="inlineStr">
        <is>
          <t>172.16.3.130</t>
        </is>
      </c>
      <c r="G4" s="10" t="inlineStr">
        <is>
          <t>Switch1 Fa0/1</t>
        </is>
      </c>
    </row>
    <row r="5" ht="31.5" customHeight="1" s="8">
      <c r="A5" s="12" t="inlineStr">
        <is>
          <t>PC Farmacia (reserva)</t>
        </is>
      </c>
      <c r="B5" s="12" t="inlineStr">
        <is>
          <t>R4</t>
        </is>
      </c>
      <c r="C5" s="12" t="inlineStr">
        <is>
          <t>172.16.3.138</t>
        </is>
      </c>
      <c r="D5" s="12" t="inlineStr">
        <is>
          <t>255.255.255.224</t>
        </is>
      </c>
      <c r="E5" s="12" t="inlineStr">
        <is>
          <t>172.16.3.129</t>
        </is>
      </c>
      <c r="F5" s="12" t="inlineStr">
        <is>
          <t>172.16.3.130</t>
        </is>
      </c>
      <c r="G5" s="12" t="inlineStr">
        <is>
          <t>Switch1 Fa0/2</t>
        </is>
      </c>
    </row>
    <row r="6" ht="31.5" customHeight="1" s="8">
      <c r="A6" s="10" t="inlineStr">
        <is>
          <t>PC2 Ubuntu (usado en el lab)</t>
        </is>
      </c>
      <c r="B6" s="10" t="inlineStr">
        <is>
          <t>R6</t>
        </is>
      </c>
      <c r="C6" s="10" t="inlineStr">
        <is>
          <t>172.16.1.10</t>
        </is>
      </c>
      <c r="D6" s="10" t="inlineStr">
        <is>
          <t>255.255.255.0</t>
        </is>
      </c>
      <c r="E6" s="10" t="inlineStr">
        <is>
          <t>172.16.1.1</t>
        </is>
      </c>
      <c r="F6" s="10" t="inlineStr">
        <is>
          <t>172.16.3.130</t>
        </is>
      </c>
      <c r="G6" s="10" t="inlineStr">
        <is>
          <t>Switch2 Fa0/1</t>
        </is>
      </c>
    </row>
    <row r="7" ht="31.5" customHeight="1" s="8">
      <c r="A7" s="12" t="inlineStr">
        <is>
          <t>PC Imágenes (reserva)</t>
        </is>
      </c>
      <c r="B7" s="12" t="inlineStr">
        <is>
          <t>R7</t>
        </is>
      </c>
      <c r="C7" s="12" t="inlineStr">
        <is>
          <t>172.16.2.138</t>
        </is>
      </c>
      <c r="D7" s="12" t="inlineStr">
        <is>
          <t>255.255.255.128</t>
        </is>
      </c>
      <c r="E7" s="12" t="inlineStr">
        <is>
          <t>172.16.2.129</t>
        </is>
      </c>
      <c r="F7" s="12" t="inlineStr">
        <is>
          <t>172.16.3.130</t>
        </is>
      </c>
      <c r="G7" s="12" t="inlineStr">
        <is>
          <t>Switch2 Fa0/2</t>
        </is>
      </c>
    </row>
    <row r="8" ht="31.5" customHeight="1" s="8">
      <c r="A8" s="10" t="inlineStr">
        <is>
          <t>PC Administración (reserva)</t>
        </is>
      </c>
      <c r="B8" s="10" t="inlineStr">
        <is>
          <t>R8</t>
        </is>
      </c>
      <c r="C8" s="10" t="inlineStr">
        <is>
          <t>172.16.3.74</t>
        </is>
      </c>
      <c r="D8" s="10" t="inlineStr">
        <is>
          <t>255.255.255.192</t>
        </is>
      </c>
      <c r="E8" s="10" t="inlineStr">
        <is>
          <t>172.16.3.65</t>
        </is>
      </c>
      <c r="F8" s="10" t="inlineStr">
        <is>
          <t>172.16.3.130</t>
        </is>
      </c>
      <c r="G8" s="10" t="inlineStr">
        <is>
          <t>Switch3 Fa0/1</t>
        </is>
      </c>
    </row>
    <row r="9" ht="31.5" customHeight="1" s="8">
      <c r="A9" s="12" t="inlineStr">
        <is>
          <t>PC Ing. biomédica (reserva)</t>
        </is>
      </c>
      <c r="B9" s="12" t="inlineStr">
        <is>
          <t>R9</t>
        </is>
      </c>
      <c r="C9" s="12" t="inlineStr">
        <is>
          <t>172.16.3.170</t>
        </is>
      </c>
      <c r="D9" s="12" t="inlineStr">
        <is>
          <t>255.255.255.224</t>
        </is>
      </c>
      <c r="E9" s="12" t="inlineStr">
        <is>
          <t>172.16.3.161</t>
        </is>
      </c>
      <c r="F9" s="12" t="inlineStr">
        <is>
          <t>172.16.3.130</t>
        </is>
      </c>
      <c r="G9" s="12" t="inlineStr">
        <is>
          <t>Switch3 Fa0/2</t>
        </is>
      </c>
    </row>
    <row r="10" ht="31.5" customHeight="1" s="8">
      <c r="A10" s="10" t="inlineStr">
        <is>
          <t>Servidor DNS (usado en el lab)</t>
        </is>
      </c>
      <c r="B10" s="10" t="inlineStr">
        <is>
          <t>R4</t>
        </is>
      </c>
      <c r="C10" s="10" t="inlineStr">
        <is>
          <t>172.16.3.130</t>
        </is>
      </c>
      <c r="D10" s="10" t="inlineStr">
        <is>
          <t>255.255.255.224</t>
        </is>
      </c>
      <c r="E10" s="10" t="inlineStr">
        <is>
          <t>172.16.3.129</t>
        </is>
      </c>
      <c r="F10" s="10" t="inlineStr">
        <is>
          <t>172.16.3.130</t>
        </is>
      </c>
      <c r="G10" s="10" t="inlineStr">
        <is>
          <t>Switch1 Fa0/3</t>
        </is>
      </c>
    </row>
    <row r="11" ht="31.5" customHeight="1" s="8">
      <c r="A11" s="12" t="inlineStr">
        <is>
          <t>Servidor HTTP (usado en el lab)</t>
        </is>
      </c>
      <c r="B11" s="12" t="inlineStr">
        <is>
          <t>R8</t>
        </is>
      </c>
      <c r="C11" s="12" t="inlineStr">
        <is>
          <t>172.16.3.66</t>
        </is>
      </c>
      <c r="D11" s="12" t="inlineStr">
        <is>
          <t>255.255.255.192</t>
        </is>
      </c>
      <c r="E11" s="12" t="inlineStr">
        <is>
          <t>172.16.3.65</t>
        </is>
      </c>
      <c r="F11" s="12" t="inlineStr">
        <is>
          <t>172.16.3.130</t>
        </is>
      </c>
      <c r="G11" s="12" t="inlineStr">
        <is>
          <t>Switch3 Fa0/3</t>
        </is>
      </c>
    </row>
    <row r="12" ht="31.5" customHeight="1" s="8">
      <c r="A12" s="10" t="inlineStr">
        <is>
          <t>Router0 Gi0/1</t>
        </is>
      </c>
      <c r="B12" s="10" t="inlineStr">
        <is>
          <t>R5</t>
        </is>
      </c>
      <c r="C12" s="10" t="inlineStr">
        <is>
          <t>172.16.3.193</t>
        </is>
      </c>
      <c r="D12" s="10" t="inlineStr">
        <is>
          <t>255.255.255.248</t>
        </is>
      </c>
      <c r="E12" s="10" t="inlineStr">
        <is>
          <t>No aplica</t>
        </is>
      </c>
      <c r="F12" s="10" t="inlineStr">
        <is>
          <t>No aplica</t>
        </is>
      </c>
      <c r="G12" s="10" t="inlineStr">
        <is>
          <t>Switch4 Fa0/1</t>
        </is>
      </c>
    </row>
    <row r="13" ht="31.5" customHeight="1" s="8">
      <c r="A13" s="12" t="inlineStr">
        <is>
          <t>Router1 Gi0/1</t>
        </is>
      </c>
      <c r="B13" s="12" t="inlineStr">
        <is>
          <t>R5</t>
        </is>
      </c>
      <c r="C13" s="12" t="inlineStr">
        <is>
          <t>172.16.3.194</t>
        </is>
      </c>
      <c r="D13" s="12" t="inlineStr">
        <is>
          <t>255.255.255.248</t>
        </is>
      </c>
      <c r="E13" s="12" t="inlineStr">
        <is>
          <t>No aplica</t>
        </is>
      </c>
      <c r="F13" s="12" t="inlineStr">
        <is>
          <t>No aplica</t>
        </is>
      </c>
      <c r="G13" s="12" t="inlineStr">
        <is>
          <t>Switch4 Fa0/2</t>
        </is>
      </c>
    </row>
    <row r="14" ht="31.5" customHeight="1" s="8">
      <c r="A14" s="10" t="inlineStr">
        <is>
          <t>Router2 Gi0/1</t>
        </is>
      </c>
      <c r="B14" s="10" t="inlineStr">
        <is>
          <t>R5</t>
        </is>
      </c>
      <c r="C14" s="10" t="inlineStr">
        <is>
          <t>172.16.3.195</t>
        </is>
      </c>
      <c r="D14" s="10" t="inlineStr">
        <is>
          <t>255.255.255.248</t>
        </is>
      </c>
      <c r="E14" s="10" t="inlineStr">
        <is>
          <t>No aplica</t>
        </is>
      </c>
      <c r="F14" s="10" t="inlineStr">
        <is>
          <t>No aplica</t>
        </is>
      </c>
      <c r="G14" s="10" t="inlineStr">
        <is>
          <t>Switch4 Fa0/3</t>
        </is>
      </c>
    </row>
    <row r="15" ht="31.5" customHeight="1" s="8">
      <c r="A15" s="12" t="inlineStr">
        <is>
          <t>Router3 Gi0/1</t>
        </is>
      </c>
      <c r="B15" s="12" t="inlineStr">
        <is>
          <t>R5</t>
        </is>
      </c>
      <c r="C15" s="12" t="inlineStr">
        <is>
          <t>172.16.3.196</t>
        </is>
      </c>
      <c r="D15" s="12" t="inlineStr">
        <is>
          <t>255.255.255.248</t>
        </is>
      </c>
      <c r="E15" s="12" t="inlineStr">
        <is>
          <t>No aplica</t>
        </is>
      </c>
      <c r="F15" s="12" t="inlineStr">
        <is>
          <t>No aplica</t>
        </is>
      </c>
      <c r="G15" s="12" t="inlineStr">
        <is>
          <t>Switch4 Fa0/4</t>
        </is>
      </c>
    </row>
  </sheetData>
  <autoFilter ref="A1:G15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1" activeCellId="0" sqref="A11"/>
    </sheetView>
  </sheetViews>
  <sheetFormatPr baseColWidth="8" defaultColWidth="8.59765625" defaultRowHeight="15" zeroHeight="0" outlineLevelRow="0"/>
  <cols>
    <col width="135.06" customWidth="1" style="7" min="1" max="1"/>
  </cols>
  <sheetData>
    <row r="1" ht="15" customHeight="1" s="8">
      <c r="A1" s="9" t="inlineStr">
        <is>
          <t>Construye tu propio Excel desde cero y compara con VLSM.</t>
        </is>
      </c>
    </row>
    <row r="2" ht="31.5" customHeight="1" s="8">
      <c r="A2" s="10" t="inlineStr">
        <is>
          <t>Azul = entrada; fórmulas calculan la dirección real, no texto pegado.</t>
        </is>
      </c>
    </row>
    <row r="3" ht="31.5" customHeight="1" s="8">
      <c r="A3" s="12" t="inlineStr">
        <is>
          <t>Funciones internas OOXML en inglés; Excel español las traduce al abrir.</t>
        </is>
      </c>
    </row>
    <row r="4" ht="31.5" customHeight="1" s="8">
      <c r="A4" s="10" t="inlineStr">
        <is>
          <t>En Excel español: ROUNDUP=REDONDEAR.MAS, IF=SI, MOD=RESIDUO; separador habitual ;.</t>
        </is>
      </c>
    </row>
    <row r="5" ht="31.5" customHeight="1" s="8">
      <c r="A5" s="12" t="inlineStr">
        <is>
          <t>Ordenar siempre de mayor a menor hosts. Si editas cantidades, reordena y revisa alineación.</t>
        </is>
      </c>
    </row>
    <row r="6" ht="31.5" customHeight="1" s="8">
      <c r="A6" s="10" t="inlineStr">
        <is>
          <t>Capacidad incluye gateways y servidores según enunciado: Farmacia /27 tiene 30 útiles, 1 gateway, 1 DNS y hasta 28 terminales.</t>
        </is>
      </c>
    </row>
    <row r="7" ht="31.5" customHeight="1" s="8">
      <c r="A7" s="12" t="inlineStr">
        <is>
          <t>VLSM filas 2 a 10: 200,160,120,70,55,40,30,25,4.</t>
        </is>
      </c>
    </row>
    <row r="8" ht="31.5" customHeight="1" s="8">
      <c r="A8" s="10" t="inlineStr">
        <is>
          <t>2^8+2^8+2^7+2^7+2^6+2^6+2^5+2^5+2^3=968. Un /23 solo tiene 512; /22 tiene 1024.</t>
        </is>
      </c>
    </row>
    <row r="9" ht="31.5" customHeight="1" s="8">
      <c r="A9" s="12" t="inlineStr">
        <is>
          <t>Bloque 172.16.0.0/12 es RFC1918; clase B es una referencia histórica /16, se trabaja con CIDR /22.</t>
        </is>
      </c>
    </row>
    <row r="10" ht="31.5" customHeight="1" s="8">
      <c r="A10" s="10" t="inlineStr">
        <is>
          <t>R5 no usa gateway único: reserva .192+1 hasta .192+4, es decir 172.16.3.193-196.</t>
        </is>
      </c>
    </row>
    <row r="11" ht="31.5" customHeight="1" s="8">
      <c r="A11" s="12" t="inlineStr">
        <is>
          <t>R5 usa VLAN 1 solo como dominio L2 del switch central: no es una VLAN de usuarios ni una décima red.</t>
        </is>
      </c>
    </row>
    <row r="12" ht="31.5" customHeight="1" s="8">
      <c r="A12" s="10" t="inlineStr">
        <is>
          <t>Máscara: por octeto 256-2^MAX(0,MIN(8,8*k-prefijo)), k de 1 a 4.</t>
        </is>
      </c>
    </row>
    <row r="13" ht="31.5" customHeight="1" s="8">
      <c r="A13" s="12" t="inlineStr">
        <is>
          <t>Red siguiente = red entera anterior + tamaño anterior. Red debe ser múltiplo de tamaño.</t>
        </is>
      </c>
    </row>
    <row r="14" ht="31.5" customHeight="1" s="8">
      <c r="A14" s="10" t="inlineStr">
        <is>
          <t>Primer host=red+1; último=red+tamaño-2; broadcast=red+tamaño-1.</t>
        </is>
      </c>
    </row>
    <row r="15" ht="31.5" customHeight="1" s="8">
      <c r="A15" s="12" t="inlineStr">
        <is>
          <t>Libres para terminales descuenta reservas; no expresa terminales conectados en Packet Tracer.</t>
        </is>
      </c>
    </row>
  </sheetData>
  <autoFilter ref="A1:A15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2026-10-25T22:01:39Z</dcterms:created>
  <dcterms:modified xmlns:dcterms="http://purl.org/dc/terms/" xmlns:xsi="http://www.w3.org/2001/XMLSchema-instance" xsi:type="dcterms:W3CDTF">2026-10-26T21:59:47Z</dcterms:modified>
  <cp:revision>1</cp:revision>
</cp:coreProperties>
</file>